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k\Desktop\VBA Project\"/>
    </mc:Choice>
  </mc:AlternateContent>
  <xr:revisionPtr revIDLastSave="0" documentId="13_ncr:1_{4B13AE7A-31DC-4D26-8C2D-DD12352409F0}" xr6:coauthVersionLast="47" xr6:coauthVersionMax="47" xr10:uidLastSave="{00000000-0000-0000-0000-000000000000}"/>
  <bookViews>
    <workbookView xWindow="-120" yWindow="-120" windowWidth="29040" windowHeight="15840" firstSheet="5" activeTab="11" xr2:uid="{5B14330C-F612-4309-A8CF-D6EF4D6FA8A2}"/>
  </bookViews>
  <sheets>
    <sheet name="Sheet1" sheetId="1" r:id="rId1"/>
    <sheet name="Testing Macros" sheetId="10" r:id="rId2"/>
    <sheet name="Character Information sheet" sheetId="4" r:id="rId3"/>
    <sheet name="Mage Offensive Spells" sheetId="5" r:id="rId4"/>
    <sheet name="Mage Defensive Spells" sheetId="15" r:id="rId5"/>
    <sheet name="Warrior Offensive Actions" sheetId="18" r:id="rId6"/>
    <sheet name="Warrior Defensive Actions" sheetId="19" r:id="rId7"/>
    <sheet name="Ranger Offensive Actions" sheetId="20" r:id="rId8"/>
    <sheet name="Ranger Defensive Actions" sheetId="21" r:id="rId9"/>
    <sheet name="Classes" sheetId="3" r:id="rId10"/>
    <sheet name="BaseInventory" sheetId="27" r:id="rId11"/>
    <sheet name="test" sheetId="41" r:id="rId12"/>
    <sheet name="Types" sheetId="11" r:id="rId13"/>
    <sheet name="Monster Tables" sheetId="2" r:id="rId14"/>
    <sheet name="Monster Action Tables" sheetId="22" r:id="rId15"/>
    <sheet name="Experience needed for levels" sheetId="9" r:id="rId16"/>
    <sheet name="Combat Log" sheetId="7" r:id="rId17"/>
    <sheet name="StarBasher" sheetId="12" r:id="rId18"/>
    <sheet name="SandPirate" sheetId="13" r:id="rId19"/>
    <sheet name="Equipment" sheetId="25" r:id="rId20"/>
    <sheet name="Set Bonuses" sheetId="42" r:id="rId21"/>
    <sheet name="Potions" sheetId="26" r:id="rId22"/>
  </sheets>
  <definedNames>
    <definedName name="Characters">'Character Information sheet'!$A$2:$K$4</definedName>
    <definedName name="Classes">Classes!$B$2:$B$6</definedName>
    <definedName name="CurrentPlayerLevel">'Character Information sheet'!$P$1</definedName>
    <definedName name="EmptyPieces">Equipment!$I$3:$N$16</definedName>
    <definedName name="EnergyPot">BaseInventory!$A$14:$F$14</definedName>
    <definedName name="ExternalData_1" localSheetId="15" hidden="1">'Experience needed for levels'!$A$1:$C$21</definedName>
    <definedName name="GoblinMinionAttacks">'Monster Action Tables'!$A$4:$K$4</definedName>
    <definedName name="huh">#REF!,#REF!</definedName>
    <definedName name="MageAttacks">'Mage Offensive Spells'!$A$2:$K$5</definedName>
    <definedName name="MageDefenses">'Mage Defensive Spells'!$A$2:$J$2</definedName>
    <definedName name="ManaPots">BaseInventory!$A$8:$F$12</definedName>
    <definedName name="MonsterList">'Monster Tables'!$A$3:$I$4</definedName>
    <definedName name="NookruleFieldMonsterList">'Monster Tables'!$A$3:$K$4</definedName>
    <definedName name="PlayerCurrentMonster">BaseInventory!$J$3:$T$3</definedName>
    <definedName name="PlayerCurrentQuest">BaseInventory!$H$2</definedName>
    <definedName name="PlayerDefenseAmt">BaseInventory!$H$8</definedName>
    <definedName name="PlayerDefenseType">BaseInventory!$H$5</definedName>
    <definedName name="PlayerExperienceNeeded">BaseInventory!$H$23</definedName>
    <definedName name="PlayerGold">BaseInventory!$H$11</definedName>
    <definedName name="PlayerLevelRange">BaseInventory!$H$26</definedName>
    <definedName name="PlayerLocationRange">BaseInventory!$H$14</definedName>
    <definedName name="PlayerPotionList" localSheetId="10">BaseInventory!$A$3:$F$14</definedName>
    <definedName name="PlayerPotionList">StarBasher!$A$3:$F$12</definedName>
    <definedName name="PlayerResourceRegen">BaseInventory!$H$17</definedName>
    <definedName name="PlayerTotalExperience">BaseInventory!$H$20</definedName>
    <definedName name="RagePot">BaseInventory!$A$13:$F$13</definedName>
    <definedName name="RangerAttacks">'Ranger Offensive Actions'!$A$2:$L$5</definedName>
    <definedName name="Stats">Classes!$C$2:$V$4</definedName>
    <definedName name="testCurrentEquipment">test!$A$21:$F$34</definedName>
    <definedName name="testCurrentMonster">test!$K$3:$U$3</definedName>
    <definedName name="testCurrentQuest">test!$I$2</definedName>
    <definedName name="testDefenseAmt">test!$I$8</definedName>
    <definedName name="testDefenseType">test!$I$5</definedName>
    <definedName name="tester1">'Testing Macros'!$J$1:$M$2</definedName>
    <definedName name="tester2">Sheet1!$M$1:$P$2</definedName>
    <definedName name="testExperienceNeeded">test!$I$23</definedName>
    <definedName name="testGold">test!$I$11</definedName>
    <definedName name="testInventory">test!$A$39:$G$51</definedName>
    <definedName name="testLevel">test!$I$26</definedName>
    <definedName name="testLocation">test!$I$14</definedName>
    <definedName name="testPotionList">test!$A$3:$F$12</definedName>
    <definedName name="testResourceRegen">test!$I$17</definedName>
    <definedName name="testTotalExperience">test!$I$20</definedName>
    <definedName name="Tow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41" l="1"/>
  <c r="A1" i="1"/>
  <c r="J4" i="4"/>
  <c r="C4" i="4"/>
  <c r="N4" i="4" s="1"/>
  <c r="K2" i="4"/>
  <c r="H23" i="27"/>
  <c r="I23" i="41"/>
  <c r="K4" i="4" s="1"/>
  <c r="L1" i="22"/>
  <c r="E4" i="22" s="1"/>
  <c r="M2" i="2"/>
  <c r="G4" i="2" s="1"/>
  <c r="C4" i="2" s="1"/>
  <c r="K3" i="4"/>
  <c r="N3" i="4"/>
  <c r="T1" i="4"/>
  <c r="AE1" i="4" s="1"/>
  <c r="N2" i="4"/>
  <c r="B4" i="2" l="1"/>
  <c r="G3" i="2"/>
  <c r="C3" i="2" s="1"/>
  <c r="B3" i="2" s="1"/>
  <c r="D4" i="22"/>
  <c r="G4" i="22"/>
  <c r="E4" i="4"/>
  <c r="F4" i="4"/>
  <c r="I4" i="2"/>
  <c r="E3" i="4"/>
  <c r="F3" i="4"/>
  <c r="C2" i="7"/>
  <c r="V1" i="4"/>
  <c r="U1" i="4" s="1"/>
  <c r="W1" i="4"/>
  <c r="AB1" i="4"/>
  <c r="E2" i="4"/>
  <c r="H4" i="4" l="1"/>
  <c r="I3" i="2"/>
  <c r="H3" i="4"/>
  <c r="Y1" i="4"/>
  <c r="X1" i="4" s="1"/>
  <c r="F2" i="4"/>
  <c r="H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E26626-F802-490F-839B-860916994F4D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810D1E25-171C-45F1-B2FE-B3322E53DCA9}" keepAlive="1" name="Query - Table 0 (2)" description="Connection to the 'Table 0 (2)' query in the workbook." type="5" refreshedVersion="7" background="1" saveData="1">
    <dbPr connection="Provider=Microsoft.Mashup.OleDb.1;Data Source=$Workbook$;Location=&quot;Table 0 (2)&quot;;Extended Properties=&quot;&quot;" command="SELECT * FROM [Table 0 (2)]"/>
  </connection>
</connections>
</file>

<file path=xl/sharedStrings.xml><?xml version="1.0" encoding="utf-8"?>
<sst xmlns="http://schemas.openxmlformats.org/spreadsheetml/2006/main" count="871" uniqueCount="281">
  <si>
    <t>Name</t>
  </si>
  <si>
    <t>Current HP</t>
  </si>
  <si>
    <t>Max HP</t>
  </si>
  <si>
    <t>Description</t>
  </si>
  <si>
    <t>A small green creature that looks like they want to kill you!</t>
  </si>
  <si>
    <t>A somewhat bigger and stronger looking green creature that is angry that you killed its minions!</t>
  </si>
  <si>
    <t>Class</t>
  </si>
  <si>
    <t>Level</t>
  </si>
  <si>
    <t>Defense</t>
  </si>
  <si>
    <t>Spells</t>
  </si>
  <si>
    <t>Fireball</t>
  </si>
  <si>
    <t>Damage type</t>
  </si>
  <si>
    <t>fire</t>
  </si>
  <si>
    <t>water</t>
  </si>
  <si>
    <t>ice</t>
  </si>
  <si>
    <t>electric</t>
  </si>
  <si>
    <t>Mana Cost</t>
  </si>
  <si>
    <t>Shock</t>
  </si>
  <si>
    <t>Ice Shard</t>
  </si>
  <si>
    <t>Level Learned</t>
  </si>
  <si>
    <t>Earthen Shield</t>
  </si>
  <si>
    <t>none</t>
  </si>
  <si>
    <t>Defense Type</t>
  </si>
  <si>
    <t>IsBoss?</t>
  </si>
  <si>
    <t>Current Mana</t>
  </si>
  <si>
    <t>Max Mana</t>
  </si>
  <si>
    <t>Current Enemy</t>
  </si>
  <si>
    <t>Class Name</t>
  </si>
  <si>
    <t>Mage</t>
  </si>
  <si>
    <t>Warrior</t>
  </si>
  <si>
    <t>Ranger</t>
  </si>
  <si>
    <t>20,10,50</t>
  </si>
  <si>
    <t>32,16,100</t>
  </si>
  <si>
    <t>27,13,100</t>
  </si>
  <si>
    <t>22,10,60</t>
  </si>
  <si>
    <t>24,10,65</t>
  </si>
  <si>
    <t>26,10,70</t>
  </si>
  <si>
    <t>30,12,90</t>
  </si>
  <si>
    <t>Stats (HP,Defense,Resource(Mana,Rage,Energy))</t>
  </si>
  <si>
    <t>32,12,100</t>
  </si>
  <si>
    <t>34,12,110</t>
  </si>
  <si>
    <t>36,12,120</t>
  </si>
  <si>
    <t>38,12,130</t>
  </si>
  <si>
    <t>Stats String</t>
  </si>
  <si>
    <t>Experience</t>
  </si>
  <si>
    <t>Experience bank</t>
  </si>
  <si>
    <t>Experience needed to level up</t>
  </si>
  <si>
    <t>Current Mana spent</t>
  </si>
  <si>
    <t>Mana Regen per turn</t>
  </si>
  <si>
    <t>Experience Points</t>
  </si>
  <si>
    <t>Proficiency Bonus</t>
  </si>
  <si>
    <t>StarBasher</t>
  </si>
  <si>
    <t>SandPirate</t>
  </si>
  <si>
    <t>damage/defense/heal data validation</t>
  </si>
  <si>
    <t>type of (damage/defense/heal)</t>
  </si>
  <si>
    <t>Goblin Boss</t>
  </si>
  <si>
    <t>Split up spells into damage/buffs/debuffs categories</t>
  </si>
  <si>
    <t>extra effect for a spell on crit maybe?</t>
  </si>
  <si>
    <t>poison</t>
  </si>
  <si>
    <t>air</t>
  </si>
  <si>
    <t>Poison Cloud</t>
  </si>
  <si>
    <t>Air Bullet</t>
  </si>
  <si>
    <t>Vine Whip</t>
  </si>
  <si>
    <t>Type Name</t>
  </si>
  <si>
    <t>plant</t>
  </si>
  <si>
    <t>earth</t>
  </si>
  <si>
    <t>holy</t>
  </si>
  <si>
    <t>demonic</t>
  </si>
  <si>
    <t>flesh</t>
  </si>
  <si>
    <t>necrotic</t>
  </si>
  <si>
    <t>earth elementals and earth/rock spells most will be defensive until higher levels (Earthquake)</t>
  </si>
  <si>
    <t>electric elementals and electric spells will mostly be offensive (may add a stun effect?) (maybe an electric shield that damages or stuns on hit)</t>
  </si>
  <si>
    <t>air elementals and air spells (double hit buffs? Maybe double turns)</t>
  </si>
  <si>
    <t>Dragons maybe?</t>
  </si>
  <si>
    <t>resisted to normal weakness</t>
  </si>
  <si>
    <t>fire elementals and fire spells (mostly damage except maybe a fire shield that hurts on hit) (maybe a burn effect)</t>
  </si>
  <si>
    <t xml:space="preserve">physical </t>
  </si>
  <si>
    <t>ice elementals and spells will be a mix of offense and defense with maybe debuffs(freeze)</t>
  </si>
  <si>
    <t>undead, zombies, skeletons, vampires, lich and spells will be health drain, DoTs, curses</t>
  </si>
  <si>
    <t>demons: imps, devils, fallen celestials, etc. and demonic spells mostly offensive and curses</t>
  </si>
  <si>
    <t>ents, dryads, plant monsters/elementals and spells will be healing, debuffs, buffs, maybe some minor attacks</t>
  </si>
  <si>
    <t>poison elementals, slimes and spells will be damage over time, debuffs</t>
  </si>
  <si>
    <t>water elementals and spells will be healing, debuffs, big damage spells (cost more mana), defensive spells, buffs</t>
  </si>
  <si>
    <t>etherial</t>
  </si>
  <si>
    <t>humans, and flesh like monsters that are not infused with an element (only spells might be healing?) no armor defense</t>
  </si>
  <si>
    <t>physically hitting stuff with stuff or thrown stuff that isnt an element/spell… a lot of pure elementals are immune to this (sucks to be a barbarian) weak to physical (armor defense)</t>
  </si>
  <si>
    <t>ghosts, spectres, banshees, etc. and spells will be curses, and annoying also immune to physical</t>
  </si>
  <si>
    <t>angels, celestials, dieties, etc and spells are mostly defensive and buffs/cleanses (but will have a purge spell of some sort good against demonic, etherial, necrotic and poison)</t>
  </si>
  <si>
    <t>make a list box for different weapons/heals/attack spells/ defense spells with damagedie damage/defense/buff type and name</t>
  </si>
  <si>
    <t>Warlock</t>
  </si>
  <si>
    <t>Paladin</t>
  </si>
  <si>
    <t>may want to add the proficiency bonus so that stuff hits more often</t>
  </si>
  <si>
    <t>Buff Amount</t>
  </si>
  <si>
    <t>Buff Type</t>
  </si>
  <si>
    <t>shield</t>
  </si>
  <si>
    <t>5 + 1d4</t>
  </si>
  <si>
    <t>Base Buff Amt</t>
  </si>
  <si>
    <t>Buff Die</t>
  </si>
  <si>
    <t>Number of die</t>
  </si>
  <si>
    <t>Damage</t>
  </si>
  <si>
    <t>Base Damage</t>
  </si>
  <si>
    <t>Damage Die</t>
  </si>
  <si>
    <t>Number of Die</t>
  </si>
  <si>
    <t>(dot, immediate or next turn (like a charging move))</t>
  </si>
  <si>
    <t>Type of Move</t>
  </si>
  <si>
    <t>Action</t>
  </si>
  <si>
    <t>Attack Option</t>
  </si>
  <si>
    <t>3 + 1d4</t>
  </si>
  <si>
    <t>2d6</t>
  </si>
  <si>
    <t>Turns</t>
  </si>
  <si>
    <t>Damage over time</t>
  </si>
  <si>
    <t>Bonus effects?</t>
  </si>
  <si>
    <t>freeze?</t>
  </si>
  <si>
    <t>stun?</t>
  </si>
  <si>
    <t>burn?</t>
  </si>
  <si>
    <t>1d4</t>
  </si>
  <si>
    <t>2 + 1d8</t>
  </si>
  <si>
    <t>4 + 1d4</t>
  </si>
  <si>
    <t>Rage Cost</t>
  </si>
  <si>
    <t>Energy Cost</t>
  </si>
  <si>
    <t>Power Shot</t>
  </si>
  <si>
    <t>Shoot</t>
  </si>
  <si>
    <t xml:space="preserve">Depends on if weapon is enchanted naturally not for a turn </t>
  </si>
  <si>
    <t>Will be from the weapon</t>
  </si>
  <si>
    <t>Wep + 1d3</t>
  </si>
  <si>
    <t>instant</t>
  </si>
  <si>
    <t>Current Weapon</t>
  </si>
  <si>
    <t>Weapon Damage</t>
  </si>
  <si>
    <t>Wep + 1d6</t>
  </si>
  <si>
    <t>Poison Shot</t>
  </si>
  <si>
    <t>Will be from the weapon (this will be the upfront damage + the first turn poison tick)</t>
  </si>
  <si>
    <t>Initial damage + dot</t>
  </si>
  <si>
    <t>Wep damage type for initial damage + poison for the dot</t>
  </si>
  <si>
    <t>Hunter's Mark</t>
  </si>
  <si>
    <t>debuff</t>
  </si>
  <si>
    <t>*2 dmg next turn</t>
  </si>
  <si>
    <t>CoolDown</t>
  </si>
  <si>
    <t>TONS OF DAMAGE</t>
  </si>
  <si>
    <t>LOTS OF MANA</t>
  </si>
  <si>
    <t>UNAVOIDABLE</t>
  </si>
  <si>
    <t>Arcane Annihilation</t>
  </si>
  <si>
    <t>Burst</t>
  </si>
  <si>
    <t>Action Table</t>
  </si>
  <si>
    <t>Attack Options</t>
  </si>
  <si>
    <t>Defense Options</t>
  </si>
  <si>
    <t>Bonus Effects</t>
  </si>
  <si>
    <t>Stab</t>
  </si>
  <si>
    <t>Potion</t>
  </si>
  <si>
    <t>Heal</t>
  </si>
  <si>
    <t>physical</t>
  </si>
  <si>
    <t>Nooks</t>
  </si>
  <si>
    <t>The innocent looking innkeep</t>
  </si>
  <si>
    <t>test</t>
  </si>
  <si>
    <t>Quantity</t>
  </si>
  <si>
    <t>Waterbolt I</t>
  </si>
  <si>
    <t>waterbolt II</t>
  </si>
  <si>
    <t>6 + 2d4</t>
  </si>
  <si>
    <t>IsEquiped?</t>
  </si>
  <si>
    <t>Effect</t>
  </si>
  <si>
    <t>Effect Type</t>
  </si>
  <si>
    <t>potion</t>
  </si>
  <si>
    <t>Heals 5 HP instantly</t>
  </si>
  <si>
    <t>Type</t>
  </si>
  <si>
    <t>Effect Amount</t>
  </si>
  <si>
    <t>Apprentice's Robe</t>
  </si>
  <si>
    <t>Apprentice's Staff</t>
  </si>
  <si>
    <t>armor</t>
  </si>
  <si>
    <t>healing</t>
  </si>
  <si>
    <t>Minor Health Potion</t>
  </si>
  <si>
    <t>Minor Mana Potion</t>
  </si>
  <si>
    <t>Restores 15 Mana instantly</t>
  </si>
  <si>
    <t>mana</t>
  </si>
  <si>
    <t>Apprentice's Robes</t>
  </si>
  <si>
    <t>The robes given to you by your late master.</t>
  </si>
  <si>
    <t>The staff given to you by your late master.</t>
  </si>
  <si>
    <t>PlayerPotionList</t>
  </si>
  <si>
    <t>Health Potion</t>
  </si>
  <si>
    <t>Heals 10 HP instantly</t>
  </si>
  <si>
    <t>Major Health Potion</t>
  </si>
  <si>
    <t>Heals 20 HP instantly</t>
  </si>
  <si>
    <t>Amazing Health Potion</t>
  </si>
  <si>
    <t>Heals 40 HP instantly</t>
  </si>
  <si>
    <t>Divine Health Potion</t>
  </si>
  <si>
    <t>Mana Potion</t>
  </si>
  <si>
    <t>Restores 30 Mana instantly</t>
  </si>
  <si>
    <t>Major Mana Potion</t>
  </si>
  <si>
    <t>Restores 60 Mana instantly</t>
  </si>
  <si>
    <t>Heals full HP instantly</t>
  </si>
  <si>
    <t>Restores 120 Mana instantly</t>
  </si>
  <si>
    <t>Divine Mana Potion</t>
  </si>
  <si>
    <t>Amazing Mana Potion</t>
  </si>
  <si>
    <t>Restores full Mana instantly</t>
  </si>
  <si>
    <t>Armor</t>
  </si>
  <si>
    <t>Weapon</t>
  </si>
  <si>
    <t>Effect Bonus</t>
  </si>
  <si>
    <t>PlayerEquipmentList</t>
  </si>
  <si>
    <t>mana regen</t>
  </si>
  <si>
    <t>Rage Potion</t>
  </si>
  <si>
    <t>Restores 50 Rage instantly</t>
  </si>
  <si>
    <t>rage</t>
  </si>
  <si>
    <t>Energy Potion</t>
  </si>
  <si>
    <t>Restore 50 Energy instantly</t>
  </si>
  <si>
    <t>energy</t>
  </si>
  <si>
    <t>flatpotion</t>
  </si>
  <si>
    <t>percentpotion</t>
  </si>
  <si>
    <t>CD Counter</t>
  </si>
  <si>
    <t>Guard</t>
  </si>
  <si>
    <t>Damage Reduction</t>
  </si>
  <si>
    <t>2*(plvl*0.666))+1*(plvl*.333) d3</t>
  </si>
  <si>
    <t>Current Quest</t>
  </si>
  <si>
    <t>Current Monster (maybe make a list for the quests? So that you can go down the list as you beat them?)</t>
  </si>
  <si>
    <t>Nookrule Field Monster Table? Or maybe make named ranges for each one and call it</t>
  </si>
  <si>
    <t>GoblinMinion</t>
  </si>
  <si>
    <t>Player Defense Type</t>
  </si>
  <si>
    <t xml:space="preserve">Player Defense </t>
  </si>
  <si>
    <t>Gold</t>
  </si>
  <si>
    <t>Current Location</t>
  </si>
  <si>
    <t>Resource Regen</t>
  </si>
  <si>
    <t>Player Total Experience</t>
  </si>
  <si>
    <t>Player Experience Needed</t>
  </si>
  <si>
    <t>Player Level</t>
  </si>
  <si>
    <t>Town</t>
  </si>
  <si>
    <t xml:space="preserve">probably delete and keep </t>
  </si>
  <si>
    <t>data on the individual sheet</t>
  </si>
  <si>
    <t>Apprentice's Shoulders</t>
  </si>
  <si>
    <t>Apprentice's Cloak</t>
  </si>
  <si>
    <t>Apprentice's Bracelets</t>
  </si>
  <si>
    <t>Apprentice's Hood</t>
  </si>
  <si>
    <t>Apprentice's Gloves</t>
  </si>
  <si>
    <t>Apprentice's Belt</t>
  </si>
  <si>
    <t>Apprentice's Pants</t>
  </si>
  <si>
    <t>Apprentice's Shoes</t>
  </si>
  <si>
    <t>Head</t>
  </si>
  <si>
    <t>Shoulder</t>
  </si>
  <si>
    <t>Back</t>
  </si>
  <si>
    <t>Chest</t>
  </si>
  <si>
    <t>Wrist</t>
  </si>
  <si>
    <t>Hand</t>
  </si>
  <si>
    <t>Waist</t>
  </si>
  <si>
    <t>Legs</t>
  </si>
  <si>
    <t>Feet</t>
  </si>
  <si>
    <t>The Headpiece of the robes given to you by your late master.</t>
  </si>
  <si>
    <t>The Shoulders of the robes given to you by your late master.</t>
  </si>
  <si>
    <t>The Cloak of the robes given to you by your late master.</t>
  </si>
  <si>
    <t>The main part of the robes given to you by your late master.</t>
  </si>
  <si>
    <t>The bracelets given to you by your late master.</t>
  </si>
  <si>
    <t>The gloves given to you by your late master.</t>
  </si>
  <si>
    <t>The belt given to you by your late master.</t>
  </si>
  <si>
    <t>The pants given to you by your late master.</t>
  </si>
  <si>
    <t>The shoes to you by your late master.</t>
  </si>
  <si>
    <t>Set</t>
  </si>
  <si>
    <t>Apprentice</t>
  </si>
  <si>
    <t>Mage Armor Pieces</t>
  </si>
  <si>
    <t>Mage Set Bonuses</t>
  </si>
  <si>
    <t>Apprentice Set</t>
  </si>
  <si>
    <t>Bonus</t>
  </si>
  <si>
    <t>spell damage</t>
  </si>
  <si>
    <t>Set Bonus At (pieces)</t>
  </si>
  <si>
    <t>Set Bonuses</t>
  </si>
  <si>
    <t>Bonus Amount</t>
  </si>
  <si>
    <t>Set pieces</t>
  </si>
  <si>
    <t>PlayerCurrentEquipmentList</t>
  </si>
  <si>
    <t>Necklace</t>
  </si>
  <si>
    <t>Neck</t>
  </si>
  <si>
    <t>A decorative necklace. It has no bonus effects.</t>
  </si>
  <si>
    <t>Slot</t>
  </si>
  <si>
    <t>Ring1</t>
  </si>
  <si>
    <t>Ring2</t>
  </si>
  <si>
    <t>A decorative ring. It has no bonus effects.</t>
  </si>
  <si>
    <t>PlayerInventory</t>
  </si>
  <si>
    <t>Empty Pieces</t>
  </si>
  <si>
    <t>Offhand/Shield</t>
  </si>
  <si>
    <t>Hi</t>
  </si>
  <si>
    <t xml:space="preserve">hi </t>
  </si>
  <si>
    <t>hi</t>
  </si>
  <si>
    <t xml:space="preserve"> hi</t>
  </si>
  <si>
    <t>hie</t>
  </si>
  <si>
    <t>my</t>
  </si>
  <si>
    <t>Ring</t>
  </si>
  <si>
    <t>Plain Ring1</t>
  </si>
  <si>
    <t>Plain Ring2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</si>
</sst>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trike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2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/>
    <xf numFmtId="0" fontId="0" fillId="0" borderId="0" xfId="0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5" fillId="0" borderId="0" xfId="0" applyFont="1"/>
    <xf numFmtId="9" fontId="0" fillId="0" borderId="0" xfId="0" applyNumberFormat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wrapText="1"/>
    </xf>
    <xf numFmtId="0" fontId="0" fillId="4" borderId="1" xfId="0" applyFill="1" applyBorder="1"/>
    <xf numFmtId="9" fontId="0" fillId="0" borderId="0" xfId="0" applyNumberForma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1" fillId="2" borderId="4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4" xfId="0" applyFill="1" applyBorder="1" applyAlignment="1">
      <alignment horizontal="center" wrapText="1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3</xdr:row>
          <xdr:rowOff>123825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4</xdr:row>
          <xdr:rowOff>38100</xdr:rowOff>
        </xdr:from>
        <xdr:to>
          <xdr:col>8</xdr:col>
          <xdr:colOff>314325</xdr:colOff>
          <xdr:row>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16</xdr:row>
          <xdr:rowOff>85725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B9DDA6-8CAE-4D57-B938-B5524A957162}" autoFormatId="16" applyNumberFormats="0" applyBorderFormats="0" applyFontFormats="0" applyPatternFormats="0" applyAlignmentFormats="0" applyWidthHeightFormats="0">
  <queryTableRefresh nextId="5">
    <queryTableFields count="3">
      <queryTableField id="2" name="Level" tableColumnId="2"/>
      <queryTableField id="1" name="Experience Points" tableColumnId="1"/>
      <queryTableField id="3" name="Proficiency Bonu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3A6C0C-72F9-4930-B6DB-750D74C587D2}" name="Table_0" displayName="Table_0" ref="A1:C21" tableType="queryTable" totalsRowShown="0">
  <autoFilter ref="A1:C21" xr:uid="{5E3A6C0C-72F9-4930-B6DB-750D74C587D2}"/>
  <tableColumns count="3">
    <tableColumn id="2" xr3:uid="{C3527B8A-E8FE-4020-9C3B-19CDF4A1392A}" uniqueName="2" name="Level" queryTableFieldId="2"/>
    <tableColumn id="1" xr3:uid="{993141B9-BA24-4BF4-8D03-494C593FFBFF}" uniqueName="1" name="Experience Points" queryTableFieldId="1"/>
    <tableColumn id="3" xr3:uid="{A4FCBF8C-1DD8-4F83-840A-E10C5DD1A7FB}" uniqueName="3" name="Proficiency Bonus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6E33F-BDE7-4528-8D3F-90F8FB854DF9}">
  <sheetPr codeName="Sheet1"/>
  <dimension ref="A1:P14"/>
  <sheetViews>
    <sheetView workbookViewId="0">
      <selection activeCell="M1" sqref="M1:M2"/>
    </sheetView>
  </sheetViews>
  <sheetFormatPr defaultRowHeight="15" x14ac:dyDescent="0.25"/>
  <cols>
    <col min="8" max="8" width="55.28515625" customWidth="1"/>
  </cols>
  <sheetData>
    <row r="1" spans="1:16" x14ac:dyDescent="0.25">
      <c r="A1">
        <f>testLevel</f>
        <v>1</v>
      </c>
      <c r="M1" t="s">
        <v>272</v>
      </c>
      <c r="N1" t="s">
        <v>273</v>
      </c>
      <c r="O1" t="s">
        <v>274</v>
      </c>
      <c r="P1" t="s">
        <v>275</v>
      </c>
    </row>
    <row r="2" spans="1:16" x14ac:dyDescent="0.25">
      <c r="M2" t="s">
        <v>277</v>
      </c>
      <c r="N2" t="s">
        <v>277</v>
      </c>
      <c r="O2" t="s">
        <v>277</v>
      </c>
      <c r="P2" t="s">
        <v>277</v>
      </c>
    </row>
    <row r="14" spans="1:16" ht="45" x14ac:dyDescent="0.25">
      <c r="H14" s="11" t="s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">
                <anchor moveWithCells="1" sizeWithCells="1">
                  <from>
                    <xdr:col>2</xdr:col>
                    <xdr:colOff>238125</xdr:colOff>
                    <xdr:row>3</xdr:row>
                    <xdr:rowOff>123825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oll20">
                <anchor moveWithCells="1" sizeWithCells="1">
                  <from>
                    <xdr:col>6</xdr:col>
                    <xdr:colOff>371475</xdr:colOff>
                    <xdr:row>4</xdr:row>
                    <xdr:rowOff>38100</xdr:rowOff>
                  </from>
                  <to>
                    <xdr:col>8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estRoll">
                <anchor moveWithCells="1" sizeWithCells="1">
                  <from>
                    <xdr:col>4</xdr:col>
                    <xdr:colOff>123825</xdr:colOff>
                    <xdr:row>16</xdr:row>
                    <xdr:rowOff>85725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43D1-02F7-44CF-9A89-A0B6B02AC0A3}">
  <sheetPr codeName="Sheet8"/>
  <dimension ref="A1:M100"/>
  <sheetViews>
    <sheetView workbookViewId="0">
      <selection activeCell="K14" sqref="K14"/>
    </sheetView>
  </sheetViews>
  <sheetFormatPr defaultRowHeight="15" x14ac:dyDescent="0.25"/>
  <sheetData>
    <row r="1" spans="1:13" x14ac:dyDescent="0.25">
      <c r="A1">
        <v>1</v>
      </c>
      <c r="J1" t="s">
        <v>272</v>
      </c>
      <c r="K1" t="s">
        <v>273</v>
      </c>
      <c r="L1" t="s">
        <v>274</v>
      </c>
      <c r="M1" t="s">
        <v>275</v>
      </c>
    </row>
    <row r="2" spans="1:13" x14ac:dyDescent="0.25">
      <c r="A2">
        <v>2</v>
      </c>
      <c r="J2" t="s">
        <v>276</v>
      </c>
      <c r="K2" t="s">
        <v>276</v>
      </c>
      <c r="L2" t="s">
        <v>276</v>
      </c>
      <c r="M2" t="s">
        <v>276</v>
      </c>
    </row>
    <row r="3" spans="1:13" x14ac:dyDescent="0.25">
      <c r="A3">
        <v>1</v>
      </c>
    </row>
    <row r="4" spans="1:13" x14ac:dyDescent="0.25">
      <c r="A4">
        <v>1</v>
      </c>
    </row>
    <row r="5" spans="1:13" x14ac:dyDescent="0.25">
      <c r="A5">
        <v>1</v>
      </c>
    </row>
    <row r="6" spans="1:13" x14ac:dyDescent="0.25">
      <c r="A6">
        <v>1</v>
      </c>
    </row>
    <row r="7" spans="1:13" x14ac:dyDescent="0.25">
      <c r="A7">
        <v>2</v>
      </c>
    </row>
    <row r="8" spans="1:13" x14ac:dyDescent="0.25">
      <c r="A8">
        <v>2</v>
      </c>
    </row>
    <row r="9" spans="1:13" x14ac:dyDescent="0.25">
      <c r="A9">
        <v>2</v>
      </c>
    </row>
    <row r="10" spans="1:13" x14ac:dyDescent="0.25">
      <c r="A10">
        <v>2</v>
      </c>
    </row>
    <row r="11" spans="1:13" x14ac:dyDescent="0.25">
      <c r="A11">
        <v>1</v>
      </c>
    </row>
    <row r="12" spans="1:13" x14ac:dyDescent="0.25">
      <c r="A12">
        <v>1</v>
      </c>
    </row>
    <row r="13" spans="1:13" x14ac:dyDescent="0.25">
      <c r="A13">
        <v>1</v>
      </c>
    </row>
    <row r="14" spans="1:13" x14ac:dyDescent="0.25">
      <c r="A14">
        <v>2</v>
      </c>
    </row>
    <row r="15" spans="1:13" x14ac:dyDescent="0.25">
      <c r="A15">
        <v>1</v>
      </c>
    </row>
    <row r="16" spans="1:13" x14ac:dyDescent="0.25">
      <c r="A16">
        <v>2</v>
      </c>
    </row>
    <row r="17" spans="1:1" x14ac:dyDescent="0.25">
      <c r="A17">
        <v>1</v>
      </c>
    </row>
    <row r="18" spans="1:1" x14ac:dyDescent="0.25">
      <c r="A18">
        <v>1</v>
      </c>
    </row>
    <row r="19" spans="1:1" x14ac:dyDescent="0.25">
      <c r="A19">
        <v>2</v>
      </c>
    </row>
    <row r="20" spans="1:1" x14ac:dyDescent="0.25">
      <c r="A20">
        <v>1</v>
      </c>
    </row>
    <row r="21" spans="1:1" x14ac:dyDescent="0.25">
      <c r="A21">
        <v>1</v>
      </c>
    </row>
    <row r="22" spans="1:1" x14ac:dyDescent="0.25">
      <c r="A22">
        <v>2</v>
      </c>
    </row>
    <row r="23" spans="1:1" x14ac:dyDescent="0.25">
      <c r="A23">
        <v>1</v>
      </c>
    </row>
    <row r="24" spans="1:1" x14ac:dyDescent="0.25">
      <c r="A24">
        <v>1</v>
      </c>
    </row>
    <row r="25" spans="1:1" x14ac:dyDescent="0.25">
      <c r="A25">
        <v>2</v>
      </c>
    </row>
    <row r="26" spans="1:1" x14ac:dyDescent="0.25">
      <c r="A26">
        <v>1</v>
      </c>
    </row>
    <row r="27" spans="1:1" x14ac:dyDescent="0.25">
      <c r="A27">
        <v>2</v>
      </c>
    </row>
    <row r="28" spans="1:1" x14ac:dyDescent="0.25">
      <c r="A28">
        <v>2</v>
      </c>
    </row>
    <row r="29" spans="1:1" x14ac:dyDescent="0.25">
      <c r="A29">
        <v>2</v>
      </c>
    </row>
    <row r="30" spans="1:1" x14ac:dyDescent="0.25">
      <c r="A30">
        <v>1</v>
      </c>
    </row>
    <row r="31" spans="1:1" x14ac:dyDescent="0.25">
      <c r="A31">
        <v>1</v>
      </c>
    </row>
    <row r="32" spans="1:1" x14ac:dyDescent="0.25">
      <c r="A32">
        <v>2</v>
      </c>
    </row>
    <row r="33" spans="1:1" x14ac:dyDescent="0.25">
      <c r="A33">
        <v>2</v>
      </c>
    </row>
    <row r="34" spans="1:1" x14ac:dyDescent="0.25">
      <c r="A34">
        <v>2</v>
      </c>
    </row>
    <row r="35" spans="1:1" x14ac:dyDescent="0.25">
      <c r="A35">
        <v>1</v>
      </c>
    </row>
    <row r="36" spans="1:1" x14ac:dyDescent="0.25">
      <c r="A36">
        <v>2</v>
      </c>
    </row>
    <row r="37" spans="1:1" x14ac:dyDescent="0.25">
      <c r="A37">
        <v>2</v>
      </c>
    </row>
    <row r="38" spans="1:1" x14ac:dyDescent="0.25">
      <c r="A38">
        <v>2</v>
      </c>
    </row>
    <row r="39" spans="1:1" x14ac:dyDescent="0.25">
      <c r="A39">
        <v>1</v>
      </c>
    </row>
    <row r="40" spans="1:1" x14ac:dyDescent="0.25">
      <c r="A40">
        <v>1</v>
      </c>
    </row>
    <row r="41" spans="1:1" x14ac:dyDescent="0.25">
      <c r="A41">
        <v>1</v>
      </c>
    </row>
    <row r="42" spans="1:1" x14ac:dyDescent="0.25">
      <c r="A42">
        <v>2</v>
      </c>
    </row>
    <row r="43" spans="1:1" x14ac:dyDescent="0.25">
      <c r="A43">
        <v>2</v>
      </c>
    </row>
    <row r="44" spans="1:1" x14ac:dyDescent="0.25">
      <c r="A44">
        <v>2</v>
      </c>
    </row>
    <row r="45" spans="1:1" x14ac:dyDescent="0.25">
      <c r="A45">
        <v>1</v>
      </c>
    </row>
    <row r="46" spans="1:1" x14ac:dyDescent="0.25">
      <c r="A46">
        <v>2</v>
      </c>
    </row>
    <row r="47" spans="1:1" x14ac:dyDescent="0.25">
      <c r="A47">
        <v>1</v>
      </c>
    </row>
    <row r="48" spans="1:1" x14ac:dyDescent="0.25">
      <c r="A48">
        <v>2</v>
      </c>
    </row>
    <row r="49" spans="1:1" x14ac:dyDescent="0.25">
      <c r="A49">
        <v>1</v>
      </c>
    </row>
    <row r="50" spans="1:1" x14ac:dyDescent="0.25">
      <c r="A50">
        <v>2</v>
      </c>
    </row>
    <row r="51" spans="1:1" x14ac:dyDescent="0.25">
      <c r="A51">
        <v>2</v>
      </c>
    </row>
    <row r="52" spans="1:1" x14ac:dyDescent="0.25">
      <c r="A52">
        <v>1</v>
      </c>
    </row>
    <row r="53" spans="1:1" x14ac:dyDescent="0.25">
      <c r="A53">
        <v>2</v>
      </c>
    </row>
    <row r="54" spans="1:1" x14ac:dyDescent="0.25">
      <c r="A54">
        <v>1</v>
      </c>
    </row>
    <row r="55" spans="1:1" x14ac:dyDescent="0.25">
      <c r="A55">
        <v>2</v>
      </c>
    </row>
    <row r="56" spans="1:1" x14ac:dyDescent="0.25">
      <c r="A56">
        <v>2</v>
      </c>
    </row>
    <row r="57" spans="1:1" x14ac:dyDescent="0.25">
      <c r="A57">
        <v>1</v>
      </c>
    </row>
    <row r="58" spans="1:1" x14ac:dyDescent="0.25">
      <c r="A58">
        <v>2</v>
      </c>
    </row>
    <row r="59" spans="1:1" x14ac:dyDescent="0.25">
      <c r="A59">
        <v>1</v>
      </c>
    </row>
    <row r="60" spans="1:1" x14ac:dyDescent="0.25">
      <c r="A60">
        <v>1</v>
      </c>
    </row>
    <row r="61" spans="1:1" x14ac:dyDescent="0.25">
      <c r="A61">
        <v>1</v>
      </c>
    </row>
    <row r="62" spans="1:1" x14ac:dyDescent="0.25">
      <c r="A62">
        <v>2</v>
      </c>
    </row>
    <row r="63" spans="1:1" x14ac:dyDescent="0.25">
      <c r="A63">
        <v>2</v>
      </c>
    </row>
    <row r="64" spans="1:1" x14ac:dyDescent="0.25">
      <c r="A64">
        <v>2</v>
      </c>
    </row>
    <row r="65" spans="1:1" x14ac:dyDescent="0.25">
      <c r="A65">
        <v>2</v>
      </c>
    </row>
    <row r="66" spans="1:1" x14ac:dyDescent="0.25">
      <c r="A66">
        <v>1</v>
      </c>
    </row>
    <row r="67" spans="1:1" x14ac:dyDescent="0.25">
      <c r="A67">
        <v>2</v>
      </c>
    </row>
    <row r="68" spans="1:1" x14ac:dyDescent="0.25">
      <c r="A68">
        <v>1</v>
      </c>
    </row>
    <row r="69" spans="1:1" x14ac:dyDescent="0.25">
      <c r="A69">
        <v>2</v>
      </c>
    </row>
    <row r="70" spans="1:1" x14ac:dyDescent="0.25">
      <c r="A70">
        <v>1</v>
      </c>
    </row>
    <row r="71" spans="1:1" x14ac:dyDescent="0.25">
      <c r="A71">
        <v>1</v>
      </c>
    </row>
    <row r="72" spans="1:1" x14ac:dyDescent="0.25">
      <c r="A72">
        <v>1</v>
      </c>
    </row>
    <row r="73" spans="1:1" x14ac:dyDescent="0.25">
      <c r="A73">
        <v>1</v>
      </c>
    </row>
    <row r="74" spans="1:1" x14ac:dyDescent="0.25">
      <c r="A74">
        <v>2</v>
      </c>
    </row>
    <row r="75" spans="1:1" x14ac:dyDescent="0.25">
      <c r="A75">
        <v>1</v>
      </c>
    </row>
    <row r="76" spans="1:1" x14ac:dyDescent="0.25">
      <c r="A76">
        <v>1</v>
      </c>
    </row>
    <row r="77" spans="1:1" x14ac:dyDescent="0.25">
      <c r="A77">
        <v>2</v>
      </c>
    </row>
    <row r="78" spans="1:1" x14ac:dyDescent="0.25">
      <c r="A78">
        <v>2</v>
      </c>
    </row>
    <row r="79" spans="1:1" x14ac:dyDescent="0.25">
      <c r="A79">
        <v>2</v>
      </c>
    </row>
    <row r="80" spans="1:1" x14ac:dyDescent="0.25">
      <c r="A80">
        <v>1</v>
      </c>
    </row>
    <row r="81" spans="1:1" x14ac:dyDescent="0.25">
      <c r="A81">
        <v>1</v>
      </c>
    </row>
    <row r="82" spans="1:1" x14ac:dyDescent="0.25">
      <c r="A82">
        <v>2</v>
      </c>
    </row>
    <row r="83" spans="1:1" x14ac:dyDescent="0.25">
      <c r="A83">
        <v>1</v>
      </c>
    </row>
    <row r="84" spans="1:1" x14ac:dyDescent="0.25">
      <c r="A84">
        <v>2</v>
      </c>
    </row>
    <row r="85" spans="1:1" x14ac:dyDescent="0.25">
      <c r="A85">
        <v>2</v>
      </c>
    </row>
    <row r="86" spans="1:1" x14ac:dyDescent="0.25">
      <c r="A86">
        <v>2</v>
      </c>
    </row>
    <row r="87" spans="1:1" x14ac:dyDescent="0.25">
      <c r="A87">
        <v>2</v>
      </c>
    </row>
    <row r="88" spans="1:1" x14ac:dyDescent="0.25">
      <c r="A88">
        <v>1</v>
      </c>
    </row>
    <row r="89" spans="1:1" x14ac:dyDescent="0.25">
      <c r="A89">
        <v>1</v>
      </c>
    </row>
    <row r="90" spans="1:1" x14ac:dyDescent="0.25">
      <c r="A90">
        <v>2</v>
      </c>
    </row>
    <row r="91" spans="1:1" x14ac:dyDescent="0.25">
      <c r="A91">
        <v>2</v>
      </c>
    </row>
    <row r="92" spans="1:1" x14ac:dyDescent="0.25">
      <c r="A92">
        <v>1</v>
      </c>
    </row>
    <row r="93" spans="1:1" x14ac:dyDescent="0.25">
      <c r="A93">
        <v>1</v>
      </c>
    </row>
    <row r="94" spans="1:1" x14ac:dyDescent="0.25">
      <c r="A94">
        <v>2</v>
      </c>
    </row>
    <row r="95" spans="1:1" x14ac:dyDescent="0.25">
      <c r="A95">
        <v>2</v>
      </c>
    </row>
    <row r="96" spans="1:1" x14ac:dyDescent="0.25">
      <c r="A96">
        <v>1</v>
      </c>
    </row>
    <row r="97" spans="1:1" x14ac:dyDescent="0.25">
      <c r="A97">
        <v>2</v>
      </c>
    </row>
    <row r="98" spans="1:1" x14ac:dyDescent="0.25">
      <c r="A98">
        <v>1</v>
      </c>
    </row>
    <row r="99" spans="1:1" x14ac:dyDescent="0.25">
      <c r="A99">
        <v>2</v>
      </c>
    </row>
    <row r="100" spans="1:1" x14ac:dyDescent="0.25">
      <c r="A10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3AE3-EF21-4DC3-9B69-5141011F208F}">
  <sheetPr codeName="Sheet2"/>
  <dimension ref="A1:AE4"/>
  <sheetViews>
    <sheetView workbookViewId="0">
      <selection activeCell="P11" sqref="P11"/>
    </sheetView>
  </sheetViews>
  <sheetFormatPr defaultRowHeight="15" x14ac:dyDescent="0.25"/>
  <cols>
    <col min="1" max="1" width="13.7109375" customWidth="1"/>
    <col min="2" max="2" width="12.140625" customWidth="1"/>
    <col min="3" max="3" width="10.140625" customWidth="1"/>
    <col min="4" max="4" width="11.140625" customWidth="1"/>
    <col min="5" max="5" width="10.28515625" customWidth="1"/>
    <col min="6" max="6" width="12" customWidth="1"/>
    <col min="7" max="7" width="14.42578125" customWidth="1"/>
    <col min="8" max="8" width="11.42578125" customWidth="1"/>
    <col min="9" max="9" width="18.7109375" customWidth="1"/>
    <col min="10" max="10" width="17.42578125" customWidth="1"/>
    <col min="11" max="11" width="28.5703125" customWidth="1"/>
    <col min="12" max="12" width="21.5703125" customWidth="1"/>
    <col min="13" max="13" width="21.7109375" customWidth="1"/>
  </cols>
  <sheetData>
    <row r="1" spans="1:31" x14ac:dyDescent="0.25">
      <c r="A1" s="14" t="s">
        <v>0</v>
      </c>
      <c r="B1" s="6" t="s">
        <v>6</v>
      </c>
      <c r="C1" s="6" t="s">
        <v>7</v>
      </c>
      <c r="D1" s="6" t="s">
        <v>1</v>
      </c>
      <c r="E1" s="6" t="s">
        <v>2</v>
      </c>
      <c r="F1" s="6" t="s">
        <v>8</v>
      </c>
      <c r="G1" s="6" t="s">
        <v>24</v>
      </c>
      <c r="H1" s="6" t="s">
        <v>25</v>
      </c>
      <c r="I1" s="6" t="s">
        <v>26</v>
      </c>
      <c r="J1" s="6" t="s">
        <v>45</v>
      </c>
      <c r="K1" s="6" t="s">
        <v>46</v>
      </c>
      <c r="L1" s="18" t="s">
        <v>126</v>
      </c>
      <c r="M1" s="6" t="s">
        <v>127</v>
      </c>
      <c r="N1" t="s">
        <v>43</v>
      </c>
      <c r="P1">
        <v>1</v>
      </c>
      <c r="R1" t="s">
        <v>51</v>
      </c>
      <c r="S1" t="s">
        <v>28</v>
      </c>
      <c r="T1">
        <f>INDEX(Table_0[[Level]:[Experience Points]],MATCH('Character Information sheet'!AA1,Table_0[Experience Points],1),1)</f>
        <v>1</v>
      </c>
      <c r="U1">
        <f>V1-0</f>
        <v>20</v>
      </c>
      <c r="V1" t="str">
        <f>LEFT(AE1,FIND(",",AE1)-1)</f>
        <v>20</v>
      </c>
      <c r="W1" t="str">
        <f>MID(AE1,FIND(",",AE1)+1,2)</f>
        <v>10</v>
      </c>
      <c r="X1">
        <f>Y1-0</f>
        <v>50</v>
      </c>
      <c r="Y1" s="1" t="str">
        <f>RIGHT(AE1,LEN(AE1)-(LEN(V1)+LEN(W1)+2))</f>
        <v>50</v>
      </c>
      <c r="AA1">
        <v>0</v>
      </c>
      <c r="AB1">
        <f>VLOOKUP(T1+1,Table_0[[Level]:[Experience Points]],2,FALSE)-AA1</f>
        <v>300</v>
      </c>
      <c r="AE1" t="str">
        <f>INDEX(Stats,MATCH(S1,Classes,0),MATCH(T1,Classes!$C$1:$V$1,0))</f>
        <v>20,10,50</v>
      </c>
    </row>
    <row r="2" spans="1:31" x14ac:dyDescent="0.25">
      <c r="A2" t="s">
        <v>51</v>
      </c>
      <c r="B2" t="s">
        <v>28</v>
      </c>
      <c r="C2">
        <v>1</v>
      </c>
      <c r="D2">
        <v>20</v>
      </c>
      <c r="E2" t="str">
        <f>LEFT(N2,FIND(",",N2)-1)</f>
        <v>20</v>
      </c>
      <c r="F2" t="str">
        <f>MID(N2,FIND(",",N2)+1,2)</f>
        <v>10</v>
      </c>
      <c r="G2">
        <v>50</v>
      </c>
      <c r="H2" s="1" t="str">
        <f>RIGHT(N2,LEN(N2)-(LEN(E2)+LEN(F2)+2))</f>
        <v>50</v>
      </c>
      <c r="J2">
        <v>0</v>
      </c>
      <c r="K2">
        <f>VLOOKUP(C2+1,Table_0[[Level]:[Experience Points]],2,FALSE)-J2</f>
        <v>300</v>
      </c>
      <c r="L2" t="s">
        <v>222</v>
      </c>
      <c r="M2" s="19"/>
      <c r="N2" t="str">
        <f>INDEX(Stats,MATCH(B2,Classes,0),MATCH(C2,Classes!$C$1:$V$1,0))</f>
        <v>20,10,50</v>
      </c>
    </row>
    <row r="3" spans="1:31" x14ac:dyDescent="0.25">
      <c r="A3" t="s">
        <v>52</v>
      </c>
      <c r="B3" t="s">
        <v>30</v>
      </c>
      <c r="C3">
        <v>1</v>
      </c>
      <c r="D3">
        <v>27</v>
      </c>
      <c r="E3" t="str">
        <f>LEFT(N3,FIND(",",N3)-1)</f>
        <v>27</v>
      </c>
      <c r="F3" t="str">
        <f>MID(N3,FIND(",",N3)+1,2)</f>
        <v>13</v>
      </c>
      <c r="G3">
        <v>100</v>
      </c>
      <c r="H3" s="1" t="str">
        <f>RIGHT(N3,LEN(N3)-(LEN(E3)+LEN(F3)+2))</f>
        <v>100</v>
      </c>
      <c r="J3">
        <v>0</v>
      </c>
      <c r="K3">
        <f>VLOOKUP(C3+1,Table_0[[Level]:[Experience Points]],2,FALSE)-J3</f>
        <v>300</v>
      </c>
      <c r="L3" t="s">
        <v>223</v>
      </c>
      <c r="N3" t="str">
        <f>INDEX(Stats,MATCH(B3,Classes,0),MATCH(C3,Classes!$C$1:$V$1,0))</f>
        <v>27,13,100</v>
      </c>
    </row>
    <row r="4" spans="1:31" x14ac:dyDescent="0.25">
      <c r="A4" t="s">
        <v>152</v>
      </c>
      <c r="B4" t="s">
        <v>28</v>
      </c>
      <c r="C4">
        <f>testLevel</f>
        <v>1</v>
      </c>
      <c r="D4">
        <v>13</v>
      </c>
      <c r="E4" t="str">
        <f>LEFT(N4,FIND(",",N4)-1)</f>
        <v>20</v>
      </c>
      <c r="F4" t="str">
        <f>MID(N4,FIND(",",N4)+1,2)</f>
        <v>10</v>
      </c>
      <c r="G4">
        <v>41</v>
      </c>
      <c r="H4" s="1" t="str">
        <f>RIGHT(N4,LEN(N4)-(LEN(E4)+LEN(F4)+2))</f>
        <v>50</v>
      </c>
      <c r="J4">
        <f>testTotalExperience</f>
        <v>0</v>
      </c>
      <c r="K4">
        <f>testExperienceNeeded</f>
        <v>300</v>
      </c>
      <c r="N4" t="str">
        <f>INDEX(Stats,MATCH(B4,Classes,0),MATCH(C4,Classes!$C$1:$V$1,0))</f>
        <v>20,10,50</v>
      </c>
    </row>
  </sheetData>
  <dataValidations count="1">
    <dataValidation type="list" allowBlank="1" showInputMessage="1" showErrorMessage="1" sqref="S1 B2:B227" xr:uid="{0E8B9A48-3D6B-44B7-BC72-1353094D0FB2}">
      <formula1>Classes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BC30-0ECA-4D84-B384-C40532A18AE0}">
  <sheetPr codeName="Sheet5"/>
  <dimension ref="A1:Q37"/>
  <sheetViews>
    <sheetView workbookViewId="0">
      <selection activeCell="I18" sqref="I18"/>
    </sheetView>
  </sheetViews>
  <sheetFormatPr defaultRowHeight="15" x14ac:dyDescent="0.25"/>
  <cols>
    <col min="1" max="1" width="19" customWidth="1"/>
    <col min="2" max="2" width="12.42578125" customWidth="1"/>
    <col min="3" max="3" width="14.28515625" customWidth="1"/>
    <col min="4" max="4" width="17.85546875" customWidth="1"/>
    <col min="5" max="5" width="18.85546875" customWidth="1"/>
    <col min="6" max="6" width="26.5703125" customWidth="1"/>
    <col min="7" max="7" width="18.42578125" customWidth="1"/>
    <col min="8" max="8" width="21.28515625" customWidth="1"/>
    <col min="9" max="9" width="19" customWidth="1"/>
    <col min="10" max="10" width="11.7109375" customWidth="1"/>
    <col min="11" max="11" width="21" customWidth="1"/>
    <col min="12" max="12" width="17.85546875" customWidth="1"/>
    <col min="13" max="13" width="14.42578125" customWidth="1"/>
  </cols>
  <sheetData>
    <row r="1" spans="1:17" ht="15.75" x14ac:dyDescent="0.25">
      <c r="A1" s="8" t="s">
        <v>9</v>
      </c>
      <c r="B1" s="8" t="s">
        <v>99</v>
      </c>
      <c r="C1" s="8" t="s">
        <v>11</v>
      </c>
      <c r="D1" s="8" t="s">
        <v>104</v>
      </c>
      <c r="E1" s="8" t="s">
        <v>16</v>
      </c>
      <c r="F1" s="8" t="s">
        <v>19</v>
      </c>
      <c r="G1" s="8" t="s">
        <v>100</v>
      </c>
      <c r="H1" s="8" t="s">
        <v>101</v>
      </c>
      <c r="I1" s="8" t="s">
        <v>102</v>
      </c>
      <c r="J1" s="8" t="s">
        <v>109</v>
      </c>
      <c r="K1" s="8" t="s">
        <v>111</v>
      </c>
      <c r="L1" s="8" t="s">
        <v>136</v>
      </c>
      <c r="M1" s="29" t="s">
        <v>205</v>
      </c>
      <c r="Q1" s="1" t="s">
        <v>103</v>
      </c>
    </row>
    <row r="2" spans="1:17" x14ac:dyDescent="0.25">
      <c r="A2" s="15" t="s">
        <v>154</v>
      </c>
      <c r="B2" s="1" t="s">
        <v>107</v>
      </c>
      <c r="C2" s="1" t="s">
        <v>13</v>
      </c>
      <c r="E2" s="1">
        <v>5</v>
      </c>
      <c r="F2" s="1">
        <v>1</v>
      </c>
      <c r="G2" s="1">
        <v>3</v>
      </c>
      <c r="H2" s="1">
        <v>4</v>
      </c>
      <c r="I2" s="1">
        <v>1</v>
      </c>
      <c r="J2" s="1">
        <v>1</v>
      </c>
      <c r="K2" s="1" t="s">
        <v>21</v>
      </c>
      <c r="L2" s="1">
        <v>1</v>
      </c>
      <c r="M2" s="1">
        <v>0</v>
      </c>
      <c r="Q2" s="1" t="s">
        <v>53</v>
      </c>
    </row>
    <row r="3" spans="1:17" x14ac:dyDescent="0.25">
      <c r="A3" s="15" t="s">
        <v>18</v>
      </c>
      <c r="B3" s="1" t="s">
        <v>107</v>
      </c>
      <c r="C3" s="1" t="s">
        <v>14</v>
      </c>
      <c r="D3" s="1"/>
      <c r="E3" s="1">
        <v>3</v>
      </c>
      <c r="F3" s="1">
        <v>1</v>
      </c>
      <c r="G3" s="1">
        <v>3</v>
      </c>
      <c r="H3" s="1">
        <v>4</v>
      </c>
      <c r="I3" s="1">
        <v>1</v>
      </c>
      <c r="J3" s="1">
        <v>1</v>
      </c>
      <c r="K3" s="1" t="s">
        <v>112</v>
      </c>
      <c r="L3" s="1">
        <v>3</v>
      </c>
      <c r="M3" s="1">
        <v>0</v>
      </c>
      <c r="Q3" s="1" t="s">
        <v>54</v>
      </c>
    </row>
    <row r="4" spans="1:17" x14ac:dyDescent="0.25">
      <c r="A4" s="15" t="s">
        <v>17</v>
      </c>
      <c r="B4" s="1" t="s">
        <v>115</v>
      </c>
      <c r="C4" s="1" t="s">
        <v>15</v>
      </c>
      <c r="D4" s="1"/>
      <c r="E4" s="1">
        <v>2</v>
      </c>
      <c r="F4" s="1">
        <v>1</v>
      </c>
      <c r="G4" s="1">
        <v>0</v>
      </c>
      <c r="H4" s="1">
        <v>4</v>
      </c>
      <c r="I4" s="1">
        <v>1</v>
      </c>
      <c r="J4" s="1">
        <v>1</v>
      </c>
      <c r="K4" s="1" t="s">
        <v>113</v>
      </c>
      <c r="L4" s="1">
        <v>1</v>
      </c>
      <c r="M4" s="1">
        <v>0</v>
      </c>
      <c r="Q4" s="1" t="s">
        <v>56</v>
      </c>
    </row>
    <row r="5" spans="1:17" x14ac:dyDescent="0.25">
      <c r="A5" s="15" t="s">
        <v>61</v>
      </c>
      <c r="B5" s="1" t="s">
        <v>115</v>
      </c>
      <c r="C5" s="1" t="s">
        <v>59</v>
      </c>
      <c r="D5" s="1"/>
      <c r="E5" s="1">
        <v>2</v>
      </c>
      <c r="F5" s="1">
        <v>1</v>
      </c>
      <c r="G5" s="1">
        <v>0</v>
      </c>
      <c r="H5" s="1">
        <v>4</v>
      </c>
      <c r="I5" s="1">
        <v>1</v>
      </c>
      <c r="J5" s="1">
        <v>1</v>
      </c>
      <c r="K5" s="1" t="s">
        <v>21</v>
      </c>
      <c r="L5" s="17">
        <v>1</v>
      </c>
      <c r="M5" s="17">
        <v>0</v>
      </c>
      <c r="Q5" s="1" t="s">
        <v>57</v>
      </c>
    </row>
    <row r="6" spans="1:17" x14ac:dyDescent="0.25">
      <c r="A6" s="16" t="s">
        <v>10</v>
      </c>
      <c r="B6" s="1" t="s">
        <v>116</v>
      </c>
      <c r="C6" s="1" t="s">
        <v>12</v>
      </c>
      <c r="D6" s="1"/>
      <c r="E6" s="1">
        <v>5</v>
      </c>
      <c r="F6" s="1">
        <v>2</v>
      </c>
      <c r="G6" s="17">
        <v>2</v>
      </c>
      <c r="H6" s="17">
        <v>8</v>
      </c>
      <c r="I6" s="17">
        <v>1</v>
      </c>
      <c r="J6" s="17">
        <v>1</v>
      </c>
      <c r="K6" s="1" t="s">
        <v>114</v>
      </c>
      <c r="L6" s="17">
        <v>3</v>
      </c>
      <c r="M6" s="17">
        <v>0</v>
      </c>
    </row>
    <row r="7" spans="1:17" x14ac:dyDescent="0.25">
      <c r="A7" s="15" t="s">
        <v>60</v>
      </c>
      <c r="B7" s="1" t="s">
        <v>108</v>
      </c>
      <c r="C7" s="1" t="s">
        <v>58</v>
      </c>
      <c r="D7" s="1" t="s">
        <v>110</v>
      </c>
      <c r="E7" s="1">
        <v>5</v>
      </c>
      <c r="F7" s="1">
        <v>2</v>
      </c>
      <c r="G7" s="1">
        <v>0</v>
      </c>
      <c r="H7" s="1">
        <v>6</v>
      </c>
      <c r="I7" s="1">
        <v>2</v>
      </c>
      <c r="J7" s="1">
        <v>3</v>
      </c>
      <c r="K7" s="1" t="s">
        <v>21</v>
      </c>
      <c r="L7" s="17">
        <v>1</v>
      </c>
    </row>
    <row r="8" spans="1:17" x14ac:dyDescent="0.25">
      <c r="A8" s="21" t="s">
        <v>62</v>
      </c>
      <c r="B8" s="22" t="s">
        <v>117</v>
      </c>
      <c r="C8" s="22" t="s">
        <v>64</v>
      </c>
      <c r="D8" s="22"/>
      <c r="E8" s="22">
        <v>3</v>
      </c>
      <c r="F8" s="22">
        <v>2</v>
      </c>
      <c r="G8" s="22">
        <v>4</v>
      </c>
      <c r="H8" s="22">
        <v>4</v>
      </c>
      <c r="I8" s="22">
        <v>1</v>
      </c>
      <c r="J8" s="22">
        <v>1</v>
      </c>
      <c r="K8" s="22" t="s">
        <v>21</v>
      </c>
      <c r="L8" s="23"/>
    </row>
    <row r="9" spans="1:17" x14ac:dyDescent="0.25">
      <c r="F9" s="1"/>
      <c r="G9" s="1"/>
    </row>
    <row r="10" spans="1:17" x14ac:dyDescent="0.25">
      <c r="B10" s="1"/>
      <c r="C10" s="1"/>
      <c r="D10" s="1"/>
      <c r="E10" s="1"/>
      <c r="F10" s="1"/>
      <c r="G10" s="1"/>
    </row>
    <row r="11" spans="1:17" x14ac:dyDescent="0.25">
      <c r="A11" t="s">
        <v>155</v>
      </c>
      <c r="B11" s="1" t="s">
        <v>156</v>
      </c>
      <c r="C11" s="1" t="s">
        <v>13</v>
      </c>
      <c r="E11" s="1"/>
      <c r="F11" s="1"/>
      <c r="G11" s="1"/>
    </row>
    <row r="12" spans="1:17" x14ac:dyDescent="0.25">
      <c r="B12" s="1"/>
      <c r="C12" s="1"/>
      <c r="D12" s="1"/>
      <c r="E12" s="1"/>
      <c r="F12" s="1"/>
      <c r="G12" s="1"/>
    </row>
    <row r="13" spans="1:17" x14ac:dyDescent="0.25">
      <c r="B13" s="1"/>
      <c r="C13" s="1"/>
      <c r="D13" s="1"/>
      <c r="F13" s="1"/>
      <c r="G13" s="1"/>
    </row>
    <row r="14" spans="1:17" x14ac:dyDescent="0.25">
      <c r="B14" s="1"/>
      <c r="C14" s="1"/>
      <c r="D14" s="1"/>
      <c r="E14" s="1"/>
      <c r="F14" s="1"/>
      <c r="G14" s="1"/>
    </row>
    <row r="15" spans="1:17" x14ac:dyDescent="0.25">
      <c r="B15" s="1"/>
      <c r="C15" s="1"/>
      <c r="D15" s="1"/>
      <c r="F15" s="1"/>
      <c r="G15" s="1"/>
    </row>
    <row r="16" spans="1:17" x14ac:dyDescent="0.25">
      <c r="B16" s="1"/>
      <c r="C16" s="1"/>
      <c r="D16" s="1"/>
      <c r="E16" s="1"/>
      <c r="F16" s="1"/>
      <c r="G16" s="1"/>
    </row>
    <row r="17" spans="1:12" x14ac:dyDescent="0.25">
      <c r="B17" s="1"/>
      <c r="C17" s="1"/>
      <c r="D17" s="1"/>
      <c r="E17" s="1"/>
      <c r="F17" s="1"/>
      <c r="G17" s="1"/>
    </row>
    <row r="18" spans="1:12" x14ac:dyDescent="0.25">
      <c r="B18" s="1"/>
      <c r="C18" s="1"/>
      <c r="D18" s="1"/>
      <c r="E18" s="1"/>
      <c r="F18" s="1"/>
      <c r="G18" s="1"/>
    </row>
    <row r="19" spans="1:12" x14ac:dyDescent="0.25">
      <c r="B19" s="1"/>
      <c r="C19" s="1"/>
      <c r="D19" s="1"/>
      <c r="E19" s="1"/>
      <c r="F19" s="1"/>
      <c r="G19" s="1"/>
    </row>
    <row r="20" spans="1:12" x14ac:dyDescent="0.25">
      <c r="B20" s="1"/>
      <c r="C20" s="1"/>
      <c r="D20" s="1"/>
      <c r="E20" s="1"/>
      <c r="F20" s="1"/>
      <c r="G20" s="1"/>
    </row>
    <row r="21" spans="1:12" x14ac:dyDescent="0.25">
      <c r="B21" s="1"/>
      <c r="C21" s="1"/>
      <c r="D21" s="1"/>
      <c r="E21" s="1"/>
      <c r="F21" s="1"/>
      <c r="G21" s="1"/>
    </row>
    <row r="22" spans="1:12" x14ac:dyDescent="0.25">
      <c r="B22" s="1"/>
      <c r="C22" s="1"/>
      <c r="D22" s="1"/>
      <c r="E22" s="1"/>
      <c r="F22" s="1"/>
      <c r="G22" s="1"/>
    </row>
    <row r="23" spans="1:12" x14ac:dyDescent="0.25">
      <c r="B23" s="1"/>
      <c r="C23" s="1"/>
      <c r="D23" s="1"/>
      <c r="E23" s="1"/>
      <c r="F23" s="1"/>
      <c r="G23" s="1"/>
    </row>
    <row r="24" spans="1:12" x14ac:dyDescent="0.25">
      <c r="B24" s="1"/>
      <c r="C24" s="1"/>
      <c r="D24" s="1"/>
      <c r="E24" s="1"/>
      <c r="F24" s="1"/>
      <c r="G24" s="1"/>
    </row>
    <row r="25" spans="1:12" x14ac:dyDescent="0.25">
      <c r="B25" s="1"/>
      <c r="C25" s="1"/>
      <c r="D25" s="1"/>
      <c r="E25" s="1"/>
      <c r="F25" s="1"/>
      <c r="G25" s="1"/>
    </row>
    <row r="26" spans="1:12" x14ac:dyDescent="0.25">
      <c r="B26" s="1"/>
      <c r="C26" s="1"/>
      <c r="D26" s="1"/>
      <c r="E26" s="1"/>
      <c r="F26" s="1"/>
      <c r="G26" s="1"/>
    </row>
    <row r="27" spans="1:12" ht="30" x14ac:dyDescent="0.25">
      <c r="A27" t="s">
        <v>140</v>
      </c>
      <c r="B27" s="13" t="s">
        <v>137</v>
      </c>
      <c r="C27" s="1" t="s">
        <v>139</v>
      </c>
      <c r="D27" s="1" t="s">
        <v>141</v>
      </c>
      <c r="E27" s="1" t="s">
        <v>138</v>
      </c>
      <c r="F27" s="1">
        <v>20</v>
      </c>
      <c r="G27" s="1">
        <v>500</v>
      </c>
      <c r="H27" s="1">
        <v>100</v>
      </c>
      <c r="I27" s="1">
        <v>10</v>
      </c>
      <c r="J27">
        <v>1</v>
      </c>
      <c r="L27" s="1">
        <v>3</v>
      </c>
    </row>
    <row r="28" spans="1:12" x14ac:dyDescent="0.25">
      <c r="B28" s="1"/>
      <c r="C28" s="1"/>
      <c r="D28" s="1"/>
      <c r="E28" s="1"/>
      <c r="F28" s="1"/>
      <c r="G28" s="1"/>
    </row>
    <row r="29" spans="1:12" x14ac:dyDescent="0.25">
      <c r="B29" s="1"/>
      <c r="C29" s="1"/>
      <c r="D29" s="1"/>
      <c r="E29" s="1"/>
      <c r="F29" s="1"/>
      <c r="G29" s="1"/>
    </row>
    <row r="30" spans="1:12" x14ac:dyDescent="0.25">
      <c r="B30" s="1"/>
      <c r="C30" s="1"/>
      <c r="D30" s="1"/>
      <c r="E30" s="1"/>
      <c r="F30" s="1"/>
      <c r="G30" s="1"/>
    </row>
    <row r="31" spans="1:12" x14ac:dyDescent="0.25">
      <c r="B31" s="1"/>
      <c r="C31" s="1"/>
      <c r="D31" s="1"/>
      <c r="E31" s="1"/>
      <c r="F31" s="1"/>
      <c r="G31" s="1"/>
    </row>
    <row r="32" spans="1:12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</row>
    <row r="37" spans="2:7" x14ac:dyDescent="0.25">
      <c r="F3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C5CC2-9D5F-4A3D-BD27-5FF0D2BE697B}">
  <sheetPr codeName="Sheet13"/>
  <dimension ref="A1:J2"/>
  <sheetViews>
    <sheetView topLeftCell="A4" workbookViewId="0">
      <selection activeCell="A3" sqref="A3:J4"/>
    </sheetView>
  </sheetViews>
  <sheetFormatPr defaultRowHeight="15" x14ac:dyDescent="0.25"/>
  <cols>
    <col min="1" max="1" width="17.5703125" customWidth="1"/>
    <col min="2" max="2" width="20.42578125" customWidth="1"/>
    <col min="3" max="3" width="16.42578125" customWidth="1"/>
    <col min="4" max="4" width="14.42578125" customWidth="1"/>
    <col min="5" max="5" width="19.28515625" customWidth="1"/>
    <col min="6" max="6" width="21.140625" customWidth="1"/>
    <col min="7" max="8" width="18.5703125" customWidth="1"/>
    <col min="9" max="9" width="21" customWidth="1"/>
    <col min="10" max="10" width="15.28515625" customWidth="1"/>
  </cols>
  <sheetData>
    <row r="1" spans="1:10" ht="15.75" x14ac:dyDescent="0.25">
      <c r="A1" s="8" t="s">
        <v>9</v>
      </c>
      <c r="B1" s="8" t="s">
        <v>92</v>
      </c>
      <c r="C1" s="8" t="s">
        <v>22</v>
      </c>
      <c r="D1" s="8" t="s">
        <v>16</v>
      </c>
      <c r="E1" s="8" t="s">
        <v>19</v>
      </c>
      <c r="F1" s="8" t="s">
        <v>93</v>
      </c>
      <c r="G1" s="8" t="s">
        <v>96</v>
      </c>
      <c r="H1" s="8" t="s">
        <v>97</v>
      </c>
      <c r="I1" s="8" t="s">
        <v>98</v>
      </c>
      <c r="J1" s="8" t="s">
        <v>136</v>
      </c>
    </row>
    <row r="2" spans="1:10" x14ac:dyDescent="0.25">
      <c r="A2" s="1" t="s">
        <v>20</v>
      </c>
      <c r="B2" s="1" t="s">
        <v>95</v>
      </c>
      <c r="C2" s="1" t="s">
        <v>65</v>
      </c>
      <c r="D2" s="1">
        <v>2</v>
      </c>
      <c r="E2" s="1">
        <v>1</v>
      </c>
      <c r="F2" s="1" t="s">
        <v>94</v>
      </c>
      <c r="G2" s="1">
        <v>5</v>
      </c>
      <c r="H2" s="1">
        <v>4</v>
      </c>
      <c r="I2" s="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25A5-A9B3-44A3-9E7D-FD853FED130C}">
  <sheetPr codeName="Sheet16"/>
  <dimension ref="A1:J1"/>
  <sheetViews>
    <sheetView workbookViewId="0">
      <selection activeCell="I36" sqref="I36"/>
    </sheetView>
  </sheetViews>
  <sheetFormatPr defaultRowHeight="15" x14ac:dyDescent="0.25"/>
  <cols>
    <col min="1" max="1" width="17.85546875" customWidth="1"/>
    <col min="2" max="2" width="12.7109375" customWidth="1"/>
    <col min="3" max="3" width="19" customWidth="1"/>
    <col min="4" max="4" width="18" customWidth="1"/>
    <col min="5" max="5" width="19.28515625" customWidth="1"/>
    <col min="6" max="6" width="15.42578125" customWidth="1"/>
    <col min="7" max="7" width="14.28515625" customWidth="1"/>
    <col min="8" max="8" width="17" customWidth="1"/>
    <col min="9" max="9" width="18.5703125" customWidth="1"/>
    <col min="10" max="10" width="15" customWidth="1"/>
  </cols>
  <sheetData>
    <row r="1" spans="1:10" ht="15.75" x14ac:dyDescent="0.25">
      <c r="A1" s="8" t="s">
        <v>106</v>
      </c>
      <c r="B1" s="8" t="s">
        <v>99</v>
      </c>
      <c r="C1" s="8" t="s">
        <v>11</v>
      </c>
      <c r="D1" s="8" t="s">
        <v>118</v>
      </c>
      <c r="E1" s="8" t="s">
        <v>19</v>
      </c>
      <c r="F1" s="8" t="s">
        <v>100</v>
      </c>
      <c r="G1" s="8" t="s">
        <v>101</v>
      </c>
      <c r="H1" s="8" t="s">
        <v>102</v>
      </c>
      <c r="I1" s="8" t="s">
        <v>104</v>
      </c>
      <c r="J1" s="8" t="s">
        <v>136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A1880-B424-4B0A-918D-342F86006607}">
  <sheetPr codeName="Sheet17"/>
  <dimension ref="A1:J1"/>
  <sheetViews>
    <sheetView workbookViewId="0">
      <selection activeCell="J1" sqref="J1"/>
    </sheetView>
  </sheetViews>
  <sheetFormatPr defaultRowHeight="15" x14ac:dyDescent="0.25"/>
  <cols>
    <col min="1" max="1" width="14.7109375" customWidth="1"/>
    <col min="2" max="2" width="20.5703125" customWidth="1"/>
    <col min="3" max="3" width="18.140625" customWidth="1"/>
    <col min="4" max="4" width="16.5703125" customWidth="1"/>
    <col min="5" max="5" width="19.28515625" customWidth="1"/>
    <col min="6" max="6" width="19.42578125" customWidth="1"/>
    <col min="7" max="7" width="20.28515625" customWidth="1"/>
    <col min="8" max="8" width="16.7109375" customWidth="1"/>
    <col min="9" max="9" width="19.7109375" customWidth="1"/>
    <col min="10" max="10" width="14.42578125" customWidth="1"/>
  </cols>
  <sheetData>
    <row r="1" spans="1:10" ht="15.75" x14ac:dyDescent="0.25">
      <c r="A1" s="8" t="s">
        <v>105</v>
      </c>
      <c r="B1" s="8" t="s">
        <v>92</v>
      </c>
      <c r="C1" s="8" t="s">
        <v>22</v>
      </c>
      <c r="D1" s="8" t="s">
        <v>118</v>
      </c>
      <c r="E1" s="8" t="s">
        <v>19</v>
      </c>
      <c r="F1" s="8" t="s">
        <v>93</v>
      </c>
      <c r="G1" s="8" t="s">
        <v>96</v>
      </c>
      <c r="H1" s="8" t="s">
        <v>97</v>
      </c>
      <c r="I1" s="8" t="s">
        <v>98</v>
      </c>
      <c r="J1" s="8" t="s">
        <v>136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63914-A38F-4314-BEBB-906BCBA2D873}">
  <sheetPr codeName="Sheet18"/>
  <dimension ref="A1:L8"/>
  <sheetViews>
    <sheetView topLeftCell="A6" workbookViewId="0">
      <selection activeCell="I24" sqref="I24"/>
    </sheetView>
  </sheetViews>
  <sheetFormatPr defaultRowHeight="15" x14ac:dyDescent="0.25"/>
  <cols>
    <col min="1" max="1" width="17.85546875" customWidth="1"/>
    <col min="2" max="2" width="12.7109375" customWidth="1"/>
    <col min="3" max="3" width="19" customWidth="1"/>
    <col min="4" max="4" width="18" customWidth="1"/>
    <col min="5" max="5" width="19.28515625" customWidth="1"/>
    <col min="6" max="6" width="15.42578125" customWidth="1"/>
    <col min="7" max="7" width="14.28515625" customWidth="1"/>
    <col min="8" max="8" width="17" customWidth="1"/>
    <col min="9" max="9" width="18.5703125" customWidth="1"/>
    <col min="11" max="11" width="22" customWidth="1"/>
    <col min="12" max="12" width="12" customWidth="1"/>
  </cols>
  <sheetData>
    <row r="1" spans="1:12" ht="15.75" x14ac:dyDescent="0.25">
      <c r="A1" s="8" t="s">
        <v>106</v>
      </c>
      <c r="B1" s="8" t="s">
        <v>99</v>
      </c>
      <c r="C1" s="8" t="s">
        <v>11</v>
      </c>
      <c r="D1" s="8" t="s">
        <v>104</v>
      </c>
      <c r="E1" s="8" t="s">
        <v>119</v>
      </c>
      <c r="F1" s="8" t="s">
        <v>19</v>
      </c>
      <c r="G1" s="8" t="s">
        <v>100</v>
      </c>
      <c r="H1" s="8" t="s">
        <v>101</v>
      </c>
      <c r="I1" s="8" t="s">
        <v>102</v>
      </c>
      <c r="J1" s="8" t="s">
        <v>109</v>
      </c>
      <c r="K1" s="8" t="s">
        <v>111</v>
      </c>
      <c r="L1" s="8" t="s">
        <v>136</v>
      </c>
    </row>
    <row r="2" spans="1:12" ht="60" x14ac:dyDescent="0.25">
      <c r="A2" t="s">
        <v>121</v>
      </c>
      <c r="B2" t="s">
        <v>124</v>
      </c>
      <c r="C2" s="11" t="s">
        <v>122</v>
      </c>
      <c r="D2" t="s">
        <v>125</v>
      </c>
      <c r="E2">
        <v>0</v>
      </c>
      <c r="F2">
        <v>1</v>
      </c>
      <c r="G2" s="11" t="s">
        <v>123</v>
      </c>
      <c r="H2">
        <v>3</v>
      </c>
      <c r="I2">
        <v>1</v>
      </c>
      <c r="J2" s="1">
        <v>1</v>
      </c>
      <c r="K2" s="1"/>
    </row>
    <row r="3" spans="1:12" ht="60" x14ac:dyDescent="0.25">
      <c r="A3" t="s">
        <v>120</v>
      </c>
      <c r="B3" t="s">
        <v>128</v>
      </c>
      <c r="C3" s="11" t="s">
        <v>122</v>
      </c>
      <c r="E3">
        <v>40</v>
      </c>
      <c r="F3">
        <v>1</v>
      </c>
      <c r="G3" s="11" t="s">
        <v>123</v>
      </c>
      <c r="H3">
        <v>6</v>
      </c>
      <c r="J3" s="1">
        <v>1</v>
      </c>
      <c r="K3" s="1"/>
    </row>
    <row r="4" spans="1:12" ht="105" x14ac:dyDescent="0.25">
      <c r="A4" t="s">
        <v>129</v>
      </c>
      <c r="B4" t="s">
        <v>128</v>
      </c>
      <c r="C4" s="11" t="s">
        <v>132</v>
      </c>
      <c r="D4" t="s">
        <v>131</v>
      </c>
      <c r="E4">
        <v>35</v>
      </c>
      <c r="F4">
        <v>1</v>
      </c>
      <c r="G4" s="11" t="s">
        <v>130</v>
      </c>
      <c r="H4">
        <v>6</v>
      </c>
      <c r="I4">
        <v>1</v>
      </c>
      <c r="J4" s="1">
        <v>3</v>
      </c>
      <c r="K4" s="1"/>
    </row>
    <row r="5" spans="1:12" ht="30" x14ac:dyDescent="0.25">
      <c r="A5" t="s">
        <v>133</v>
      </c>
      <c r="B5" s="11" t="s">
        <v>135</v>
      </c>
      <c r="C5" s="20" t="s">
        <v>134</v>
      </c>
      <c r="E5">
        <v>20</v>
      </c>
      <c r="F5">
        <v>1</v>
      </c>
      <c r="J5" s="1"/>
      <c r="K5" s="1"/>
    </row>
    <row r="6" spans="1:12" x14ac:dyDescent="0.25">
      <c r="J6" s="17"/>
      <c r="K6" s="1"/>
    </row>
    <row r="7" spans="1:12" x14ac:dyDescent="0.25">
      <c r="J7" s="1"/>
      <c r="K7" s="1"/>
    </row>
    <row r="8" spans="1:12" x14ac:dyDescent="0.25">
      <c r="J8" s="1"/>
      <c r="K8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EACF1-A832-4DC2-98EE-5B205C7338BC}">
  <sheetPr codeName="Sheet19"/>
  <dimension ref="A1:J1"/>
  <sheetViews>
    <sheetView workbookViewId="0">
      <selection activeCell="F28" sqref="F28"/>
    </sheetView>
  </sheetViews>
  <sheetFormatPr defaultRowHeight="15" x14ac:dyDescent="0.25"/>
  <cols>
    <col min="1" max="1" width="14.7109375" customWidth="1"/>
    <col min="2" max="2" width="20.5703125" customWidth="1"/>
    <col min="3" max="3" width="18.140625" customWidth="1"/>
    <col min="4" max="4" width="16.5703125" customWidth="1"/>
    <col min="5" max="5" width="19.28515625" customWidth="1"/>
    <col min="6" max="6" width="19.42578125" customWidth="1"/>
    <col min="7" max="7" width="20.28515625" customWidth="1"/>
    <col min="8" max="8" width="16.7109375" customWidth="1"/>
    <col min="9" max="9" width="19.7109375" customWidth="1"/>
    <col min="10" max="10" width="13.140625" customWidth="1"/>
  </cols>
  <sheetData>
    <row r="1" spans="1:10" ht="15.75" x14ac:dyDescent="0.25">
      <c r="A1" s="8" t="s">
        <v>105</v>
      </c>
      <c r="B1" s="8" t="s">
        <v>92</v>
      </c>
      <c r="C1" s="8" t="s">
        <v>22</v>
      </c>
      <c r="D1" s="8" t="s">
        <v>119</v>
      </c>
      <c r="E1" s="8" t="s">
        <v>19</v>
      </c>
      <c r="F1" s="8" t="s">
        <v>93</v>
      </c>
      <c r="G1" s="8" t="s">
        <v>96</v>
      </c>
      <c r="H1" s="8" t="s">
        <v>97</v>
      </c>
      <c r="I1" s="8" t="s">
        <v>98</v>
      </c>
      <c r="J1" s="8" t="s">
        <v>136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94253-1E02-4E0D-9DB4-1635E5AB8FD0}">
  <sheetPr codeName="Sheet4"/>
  <dimension ref="A1:V23"/>
  <sheetViews>
    <sheetView workbookViewId="0">
      <selection activeCell="C2" sqref="C2:V4"/>
    </sheetView>
  </sheetViews>
  <sheetFormatPr defaultRowHeight="15" x14ac:dyDescent="0.25"/>
  <cols>
    <col min="1" max="1" width="14" customWidth="1"/>
  </cols>
  <sheetData>
    <row r="1" spans="1:22" x14ac:dyDescent="0.25">
      <c r="A1" s="6" t="s">
        <v>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22" x14ac:dyDescent="0.25">
      <c r="A2" s="37" t="s">
        <v>27</v>
      </c>
      <c r="B2" t="s">
        <v>28</v>
      </c>
      <c r="C2" t="s">
        <v>31</v>
      </c>
      <c r="D2" t="s">
        <v>34</v>
      </c>
      <c r="E2" t="s">
        <v>35</v>
      </c>
      <c r="F2" t="s">
        <v>36</v>
      </c>
      <c r="G2" t="s">
        <v>37</v>
      </c>
      <c r="H2" t="s">
        <v>39</v>
      </c>
      <c r="I2" t="s">
        <v>40</v>
      </c>
      <c r="J2" t="s">
        <v>41</v>
      </c>
      <c r="K2" t="s">
        <v>42</v>
      </c>
    </row>
    <row r="3" spans="1:22" x14ac:dyDescent="0.25">
      <c r="A3" s="38"/>
      <c r="B3" t="s">
        <v>29</v>
      </c>
      <c r="C3" t="s">
        <v>32</v>
      </c>
    </row>
    <row r="4" spans="1:22" x14ac:dyDescent="0.25">
      <c r="A4" s="38"/>
      <c r="B4" t="s">
        <v>30</v>
      </c>
      <c r="C4" t="s">
        <v>33</v>
      </c>
    </row>
    <row r="5" spans="1:22" x14ac:dyDescent="0.25">
      <c r="A5" s="38"/>
      <c r="B5" t="s">
        <v>89</v>
      </c>
    </row>
    <row r="6" spans="1:22" x14ac:dyDescent="0.25">
      <c r="A6" s="38"/>
      <c r="B6" t="s">
        <v>90</v>
      </c>
    </row>
    <row r="7" spans="1:22" x14ac:dyDescent="0.25">
      <c r="A7" s="39"/>
    </row>
    <row r="23" spans="1:1" x14ac:dyDescent="0.25">
      <c r="A23" t="s">
        <v>38</v>
      </c>
    </row>
  </sheetData>
  <mergeCells count="1">
    <mergeCell ref="A2:A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3FC8-5CA9-49C7-9882-6C4AF6F25EBE}">
  <sheetPr codeName="Sheet14"/>
  <dimension ref="A1:T102"/>
  <sheetViews>
    <sheetView workbookViewId="0">
      <selection activeCell="C25" sqref="C25"/>
    </sheetView>
  </sheetViews>
  <sheetFormatPr defaultRowHeight="15" x14ac:dyDescent="0.25"/>
  <cols>
    <col min="1" max="1" width="29" customWidth="1"/>
    <col min="2" max="2" width="11.85546875" customWidth="1"/>
    <col min="3" max="3" width="60.5703125" customWidth="1"/>
    <col min="4" max="4" width="18" customWidth="1"/>
    <col min="5" max="6" width="15.28515625" customWidth="1"/>
    <col min="8" max="8" width="30.5703125" customWidth="1"/>
    <col min="10" max="10" width="18.5703125" customWidth="1"/>
    <col min="11" max="11" width="16.28515625" customWidth="1"/>
    <col min="12" max="12" width="17.140625" customWidth="1"/>
    <col min="13" max="13" width="12.7109375" customWidth="1"/>
    <col min="14" max="14" width="14.7109375" customWidth="1"/>
    <col min="15" max="15" width="35.5703125" customWidth="1"/>
    <col min="16" max="16" width="13.7109375" customWidth="1"/>
    <col min="17" max="17" width="11.85546875" customWidth="1"/>
    <col min="18" max="18" width="15.5703125" customWidth="1"/>
    <col min="19" max="19" width="13.28515625" customWidth="1"/>
  </cols>
  <sheetData>
    <row r="1" spans="1:20" x14ac:dyDescent="0.25">
      <c r="A1" s="40" t="s">
        <v>175</v>
      </c>
      <c r="B1" s="41"/>
      <c r="C1" s="41"/>
      <c r="D1" s="41"/>
      <c r="E1" s="41"/>
      <c r="F1" s="42"/>
      <c r="H1" s="25" t="s">
        <v>209</v>
      </c>
      <c r="J1" s="44" t="s">
        <v>210</v>
      </c>
      <c r="K1" s="44"/>
      <c r="L1" s="44"/>
      <c r="M1" s="44"/>
      <c r="N1" s="44"/>
      <c r="O1" s="44"/>
      <c r="P1" s="44"/>
      <c r="Q1" s="44"/>
      <c r="R1" s="44"/>
      <c r="S1" s="44"/>
      <c r="T1" s="44"/>
    </row>
    <row r="2" spans="1:20" x14ac:dyDescent="0.25">
      <c r="A2" s="25" t="s">
        <v>0</v>
      </c>
      <c r="B2" s="25" t="s">
        <v>153</v>
      </c>
      <c r="C2" s="25" t="s">
        <v>3</v>
      </c>
      <c r="D2" s="25" t="s">
        <v>162</v>
      </c>
      <c r="E2" s="25" t="s">
        <v>158</v>
      </c>
      <c r="F2" s="25" t="s">
        <v>163</v>
      </c>
      <c r="H2" s="5"/>
      <c r="J2" s="30" t="s">
        <v>0</v>
      </c>
      <c r="K2" s="30" t="s">
        <v>1</v>
      </c>
      <c r="L2" s="30" t="s">
        <v>2</v>
      </c>
      <c r="M2" s="30" t="s">
        <v>8</v>
      </c>
      <c r="N2" s="30" t="s">
        <v>22</v>
      </c>
      <c r="O2" s="30" t="s">
        <v>3</v>
      </c>
      <c r="P2" s="30" t="s">
        <v>7</v>
      </c>
      <c r="Q2" s="30" t="s">
        <v>23</v>
      </c>
      <c r="R2" s="30" t="s">
        <v>44</v>
      </c>
      <c r="S2" s="30" t="s">
        <v>142</v>
      </c>
      <c r="T2" s="30"/>
    </row>
    <row r="3" spans="1:20" x14ac:dyDescent="0.25">
      <c r="A3" s="11" t="s">
        <v>168</v>
      </c>
      <c r="B3" s="1">
        <v>2</v>
      </c>
      <c r="C3" s="11" t="s">
        <v>161</v>
      </c>
      <c r="D3" s="1" t="s">
        <v>160</v>
      </c>
      <c r="E3" s="1" t="s">
        <v>167</v>
      </c>
      <c r="F3" s="1">
        <v>5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5">
      <c r="A4" t="s">
        <v>176</v>
      </c>
      <c r="B4" s="1">
        <v>0</v>
      </c>
      <c r="C4" t="s">
        <v>177</v>
      </c>
      <c r="D4" s="1" t="s">
        <v>160</v>
      </c>
      <c r="E4" s="1" t="s">
        <v>167</v>
      </c>
      <c r="F4" s="1">
        <v>10</v>
      </c>
      <c r="H4" s="25" t="s">
        <v>213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5">
      <c r="A5" t="s">
        <v>178</v>
      </c>
      <c r="B5" s="1">
        <v>0</v>
      </c>
      <c r="C5" t="s">
        <v>179</v>
      </c>
      <c r="D5" s="1" t="s">
        <v>160</v>
      </c>
      <c r="E5" s="1" t="s">
        <v>167</v>
      </c>
      <c r="F5" s="1">
        <v>20</v>
      </c>
      <c r="H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x14ac:dyDescent="0.25">
      <c r="A6" t="s">
        <v>180</v>
      </c>
      <c r="B6" s="1">
        <v>0</v>
      </c>
      <c r="C6" t="s">
        <v>181</v>
      </c>
      <c r="D6" s="1" t="s">
        <v>160</v>
      </c>
      <c r="E6" s="1" t="s">
        <v>167</v>
      </c>
      <c r="F6" s="1">
        <v>40</v>
      </c>
    </row>
    <row r="7" spans="1:20" x14ac:dyDescent="0.25">
      <c r="A7" s="11" t="s">
        <v>182</v>
      </c>
      <c r="B7" s="1">
        <v>0</v>
      </c>
      <c r="C7" s="11" t="s">
        <v>187</v>
      </c>
      <c r="D7" s="1" t="s">
        <v>160</v>
      </c>
      <c r="E7" s="1" t="s">
        <v>167</v>
      </c>
      <c r="F7" s="28">
        <v>1</v>
      </c>
      <c r="H7" s="25" t="s">
        <v>214</v>
      </c>
    </row>
    <row r="8" spans="1:20" x14ac:dyDescent="0.25">
      <c r="A8" t="s">
        <v>169</v>
      </c>
      <c r="B8" s="1">
        <v>0</v>
      </c>
      <c r="C8" t="s">
        <v>170</v>
      </c>
      <c r="D8" s="1" t="s">
        <v>160</v>
      </c>
      <c r="E8" s="1" t="s">
        <v>171</v>
      </c>
      <c r="F8" s="1">
        <v>15</v>
      </c>
      <c r="H8" s="2"/>
    </row>
    <row r="9" spans="1:20" x14ac:dyDescent="0.25">
      <c r="A9" s="11" t="s">
        <v>183</v>
      </c>
      <c r="B9" s="1">
        <v>0</v>
      </c>
      <c r="C9" s="11" t="s">
        <v>184</v>
      </c>
      <c r="D9" s="1" t="s">
        <v>160</v>
      </c>
      <c r="E9" s="1" t="s">
        <v>171</v>
      </c>
      <c r="F9" s="1">
        <v>60</v>
      </c>
    </row>
    <row r="10" spans="1:20" x14ac:dyDescent="0.25">
      <c r="A10" s="11" t="s">
        <v>185</v>
      </c>
      <c r="B10" s="1">
        <v>0</v>
      </c>
      <c r="C10" s="11" t="s">
        <v>186</v>
      </c>
      <c r="D10" s="1" t="s">
        <v>160</v>
      </c>
      <c r="E10" s="1" t="s">
        <v>171</v>
      </c>
      <c r="F10" s="1">
        <v>120</v>
      </c>
      <c r="H10" s="33" t="s">
        <v>215</v>
      </c>
    </row>
    <row r="11" spans="1:20" x14ac:dyDescent="0.25">
      <c r="A11" s="11" t="s">
        <v>190</v>
      </c>
      <c r="B11" s="1">
        <v>0</v>
      </c>
      <c r="C11" s="11" t="s">
        <v>188</v>
      </c>
      <c r="D11" s="1" t="s">
        <v>160</v>
      </c>
      <c r="E11" s="1" t="s">
        <v>171</v>
      </c>
      <c r="F11" s="1">
        <v>240</v>
      </c>
      <c r="H11" s="31">
        <v>100</v>
      </c>
    </row>
    <row r="12" spans="1:20" x14ac:dyDescent="0.25">
      <c r="A12" s="11" t="s">
        <v>189</v>
      </c>
      <c r="B12" s="1">
        <v>0</v>
      </c>
      <c r="C12" s="11" t="s">
        <v>191</v>
      </c>
      <c r="D12" s="1" t="s">
        <v>160</v>
      </c>
      <c r="E12" s="1" t="s">
        <v>171</v>
      </c>
      <c r="F12" s="28">
        <v>1</v>
      </c>
      <c r="H12" s="1"/>
    </row>
    <row r="13" spans="1:20" x14ac:dyDescent="0.25">
      <c r="A13" s="11" t="s">
        <v>197</v>
      </c>
      <c r="B13" s="1">
        <v>0</v>
      </c>
      <c r="C13" s="11" t="s">
        <v>198</v>
      </c>
      <c r="D13" s="1" t="s">
        <v>160</v>
      </c>
      <c r="E13" s="1" t="s">
        <v>199</v>
      </c>
      <c r="F13" s="1">
        <v>50</v>
      </c>
      <c r="H13" s="33" t="s">
        <v>216</v>
      </c>
    </row>
    <row r="14" spans="1:20" x14ac:dyDescent="0.25">
      <c r="A14" s="11" t="s">
        <v>200</v>
      </c>
      <c r="B14" s="1">
        <v>0</v>
      </c>
      <c r="C14" s="11" t="s">
        <v>201</v>
      </c>
      <c r="D14" s="1" t="s">
        <v>160</v>
      </c>
      <c r="E14" s="1" t="s">
        <v>202</v>
      </c>
      <c r="F14" s="1">
        <v>50</v>
      </c>
      <c r="H14" s="31" t="s">
        <v>221</v>
      </c>
    </row>
    <row r="15" spans="1:20" x14ac:dyDescent="0.25">
      <c r="A15" s="11"/>
      <c r="C15" s="11"/>
    </row>
    <row r="16" spans="1:20" x14ac:dyDescent="0.25">
      <c r="A16" s="11"/>
      <c r="C16" s="11"/>
      <c r="H16" s="33" t="s">
        <v>217</v>
      </c>
    </row>
    <row r="17" spans="1:8" x14ac:dyDescent="0.25">
      <c r="A17" s="11"/>
      <c r="C17" s="11"/>
      <c r="H17" s="31"/>
    </row>
    <row r="18" spans="1:8" x14ac:dyDescent="0.25">
      <c r="A18" s="11"/>
      <c r="C18" s="11"/>
    </row>
    <row r="19" spans="1:8" x14ac:dyDescent="0.25">
      <c r="A19" s="11"/>
      <c r="C19" s="11"/>
      <c r="H19" s="34" t="s">
        <v>218</v>
      </c>
    </row>
    <row r="20" spans="1:8" x14ac:dyDescent="0.25">
      <c r="A20" s="11"/>
      <c r="C20" s="11"/>
      <c r="H20" s="31">
        <v>0</v>
      </c>
    </row>
    <row r="21" spans="1:8" x14ac:dyDescent="0.25">
      <c r="A21" s="43" t="s">
        <v>261</v>
      </c>
      <c r="B21" s="43"/>
      <c r="C21" s="43"/>
      <c r="D21" s="43"/>
      <c r="E21" s="43"/>
      <c r="F21" s="43"/>
      <c r="H21" s="1"/>
    </row>
    <row r="22" spans="1:8" x14ac:dyDescent="0.25">
      <c r="A22" s="26" t="s">
        <v>0</v>
      </c>
      <c r="B22" s="27" t="s">
        <v>162</v>
      </c>
      <c r="C22" s="26" t="s">
        <v>3</v>
      </c>
      <c r="D22" s="27" t="s">
        <v>157</v>
      </c>
      <c r="E22" s="27" t="s">
        <v>158</v>
      </c>
      <c r="F22" s="27" t="s">
        <v>194</v>
      </c>
      <c r="H22" s="34" t="s">
        <v>219</v>
      </c>
    </row>
    <row r="23" spans="1:8" x14ac:dyDescent="0.25">
      <c r="A23" s="11" t="s">
        <v>164</v>
      </c>
      <c r="B23" t="s">
        <v>192</v>
      </c>
      <c r="C23" s="11" t="s">
        <v>173</v>
      </c>
      <c r="D23" t="b">
        <v>1</v>
      </c>
      <c r="E23" t="s">
        <v>166</v>
      </c>
      <c r="F23">
        <v>0</v>
      </c>
      <c r="H23" s="4">
        <f>IF(H26+1 &lt; 21, VLOOKUP(H26+1,Table_0[[Level]:[Experience Points]],2,FALSE)-H20, 0)</f>
        <v>300</v>
      </c>
    </row>
    <row r="24" spans="1:8" x14ac:dyDescent="0.25">
      <c r="A24" s="11" t="s">
        <v>165</v>
      </c>
      <c r="B24" t="s">
        <v>193</v>
      </c>
      <c r="C24" s="11" t="s">
        <v>174</v>
      </c>
      <c r="D24" t="b">
        <v>1</v>
      </c>
      <c r="E24" t="s">
        <v>196</v>
      </c>
      <c r="F24">
        <v>2</v>
      </c>
      <c r="H24" s="1"/>
    </row>
    <row r="25" spans="1:8" x14ac:dyDescent="0.25">
      <c r="A25" s="11"/>
      <c r="C25" s="11"/>
      <c r="H25" s="34" t="s">
        <v>220</v>
      </c>
    </row>
    <row r="26" spans="1:8" x14ac:dyDescent="0.25">
      <c r="A26" s="11"/>
      <c r="C26" s="11"/>
      <c r="H26" s="4">
        <v>1</v>
      </c>
    </row>
    <row r="27" spans="1:8" x14ac:dyDescent="0.25">
      <c r="A27" s="11"/>
      <c r="C27" s="11"/>
    </row>
    <row r="28" spans="1:8" x14ac:dyDescent="0.25">
      <c r="A28" s="11"/>
      <c r="C28" s="11"/>
    </row>
    <row r="29" spans="1:8" x14ac:dyDescent="0.25">
      <c r="A29" s="11"/>
      <c r="C29" s="11"/>
    </row>
    <row r="30" spans="1:8" x14ac:dyDescent="0.25">
      <c r="A30" s="11"/>
      <c r="C30" s="11"/>
    </row>
    <row r="31" spans="1:8" x14ac:dyDescent="0.25">
      <c r="A31" s="11"/>
      <c r="C31" s="11"/>
    </row>
    <row r="32" spans="1:8" x14ac:dyDescent="0.25">
      <c r="A32" s="11"/>
      <c r="C32" s="11"/>
    </row>
    <row r="33" spans="1:3" x14ac:dyDescent="0.25">
      <c r="A33" s="11"/>
      <c r="C33" s="11"/>
    </row>
    <row r="34" spans="1:3" x14ac:dyDescent="0.25">
      <c r="A34" s="11"/>
      <c r="C34" s="11"/>
    </row>
    <row r="35" spans="1:3" x14ac:dyDescent="0.25">
      <c r="A35" s="11"/>
      <c r="C35" s="11"/>
    </row>
    <row r="36" spans="1:3" x14ac:dyDescent="0.25">
      <c r="A36" s="11"/>
      <c r="C36" s="11"/>
    </row>
    <row r="37" spans="1:3" x14ac:dyDescent="0.25">
      <c r="A37" s="11"/>
      <c r="C37" s="11"/>
    </row>
    <row r="38" spans="1:3" x14ac:dyDescent="0.25">
      <c r="A38" s="11"/>
      <c r="C38" s="11"/>
    </row>
    <row r="39" spans="1:3" x14ac:dyDescent="0.25">
      <c r="A39" s="11"/>
      <c r="C39" s="11"/>
    </row>
    <row r="40" spans="1:3" x14ac:dyDescent="0.25">
      <c r="A40" s="11"/>
      <c r="C40" s="11"/>
    </row>
    <row r="41" spans="1:3" x14ac:dyDescent="0.25">
      <c r="A41" s="11"/>
      <c r="C41" s="11"/>
    </row>
    <row r="42" spans="1:3" x14ac:dyDescent="0.25">
      <c r="A42" s="11"/>
      <c r="C42" s="11"/>
    </row>
    <row r="43" spans="1:3" x14ac:dyDescent="0.25">
      <c r="A43" s="11"/>
      <c r="C43" s="11"/>
    </row>
    <row r="44" spans="1:3" x14ac:dyDescent="0.25">
      <c r="A44" s="11"/>
      <c r="C44" s="11"/>
    </row>
    <row r="45" spans="1:3" x14ac:dyDescent="0.25">
      <c r="A45" s="11"/>
      <c r="C45" s="11"/>
    </row>
    <row r="46" spans="1:3" x14ac:dyDescent="0.25">
      <c r="A46" s="11"/>
      <c r="C46" s="11"/>
    </row>
    <row r="47" spans="1:3" x14ac:dyDescent="0.25">
      <c r="A47" s="11"/>
      <c r="C47" s="11"/>
    </row>
    <row r="48" spans="1:3" x14ac:dyDescent="0.25">
      <c r="A48" s="11"/>
      <c r="C48" s="11"/>
    </row>
    <row r="49" spans="1:3" x14ac:dyDescent="0.25">
      <c r="A49" s="11"/>
      <c r="C49" s="11"/>
    </row>
    <row r="50" spans="1:3" x14ac:dyDescent="0.25">
      <c r="A50" s="11"/>
      <c r="C50" s="11"/>
    </row>
    <row r="51" spans="1:3" x14ac:dyDescent="0.25">
      <c r="A51" s="11"/>
      <c r="C51" s="11"/>
    </row>
    <row r="52" spans="1:3" x14ac:dyDescent="0.25">
      <c r="A52" s="11"/>
      <c r="C52" s="11"/>
    </row>
    <row r="53" spans="1:3" x14ac:dyDescent="0.25">
      <c r="A53" s="11"/>
      <c r="C53" s="11"/>
    </row>
    <row r="54" spans="1:3" x14ac:dyDescent="0.25">
      <c r="A54" s="11"/>
      <c r="C54" s="11"/>
    </row>
    <row r="55" spans="1:3" x14ac:dyDescent="0.25">
      <c r="A55" s="11"/>
      <c r="C55" s="11"/>
    </row>
    <row r="56" spans="1:3" x14ac:dyDescent="0.25">
      <c r="A56" s="11"/>
      <c r="C56" s="11"/>
    </row>
    <row r="57" spans="1:3" x14ac:dyDescent="0.25">
      <c r="A57" s="11"/>
      <c r="C57" s="11"/>
    </row>
    <row r="58" spans="1:3" x14ac:dyDescent="0.25">
      <c r="A58" s="11"/>
      <c r="C58" s="11"/>
    </row>
    <row r="59" spans="1:3" x14ac:dyDescent="0.25">
      <c r="A59" s="11"/>
      <c r="C59" s="11"/>
    </row>
    <row r="60" spans="1:3" x14ac:dyDescent="0.25">
      <c r="A60" s="11"/>
      <c r="C60" s="11"/>
    </row>
    <row r="61" spans="1:3" x14ac:dyDescent="0.25">
      <c r="A61" s="11"/>
      <c r="C61" s="11"/>
    </row>
    <row r="62" spans="1:3" x14ac:dyDescent="0.25">
      <c r="A62" s="11"/>
      <c r="C62" s="11"/>
    </row>
    <row r="63" spans="1:3" x14ac:dyDescent="0.25">
      <c r="A63" s="11"/>
      <c r="C63" s="11"/>
    </row>
    <row r="64" spans="1:3" x14ac:dyDescent="0.25">
      <c r="A64" s="11"/>
      <c r="C64" s="11"/>
    </row>
    <row r="65" spans="1:3" x14ac:dyDescent="0.25">
      <c r="A65" s="11"/>
      <c r="C65" s="11"/>
    </row>
    <row r="66" spans="1:3" x14ac:dyDescent="0.25">
      <c r="A66" s="11"/>
      <c r="C66" s="11"/>
    </row>
    <row r="67" spans="1:3" x14ac:dyDescent="0.25">
      <c r="A67" s="11"/>
      <c r="C67" s="11"/>
    </row>
    <row r="68" spans="1:3" x14ac:dyDescent="0.25">
      <c r="A68" s="11"/>
      <c r="C68" s="11"/>
    </row>
    <row r="69" spans="1:3" x14ac:dyDescent="0.25">
      <c r="A69" s="11"/>
      <c r="C69" s="11"/>
    </row>
    <row r="70" spans="1:3" x14ac:dyDescent="0.25">
      <c r="A70" s="11"/>
      <c r="C70" s="11"/>
    </row>
    <row r="71" spans="1:3" x14ac:dyDescent="0.25">
      <c r="A71" s="11"/>
      <c r="C71" s="11"/>
    </row>
    <row r="72" spans="1:3" x14ac:dyDescent="0.25">
      <c r="A72" s="11"/>
      <c r="C72" s="11"/>
    </row>
    <row r="73" spans="1:3" x14ac:dyDescent="0.25">
      <c r="A73" s="11"/>
      <c r="C73" s="11"/>
    </row>
    <row r="74" spans="1:3" x14ac:dyDescent="0.25">
      <c r="A74" s="11"/>
      <c r="C74" s="11"/>
    </row>
    <row r="75" spans="1:3" x14ac:dyDescent="0.25">
      <c r="A75" s="11"/>
      <c r="C75" s="11"/>
    </row>
    <row r="76" spans="1:3" x14ac:dyDescent="0.25">
      <c r="A76" s="11"/>
      <c r="C76" s="11"/>
    </row>
    <row r="77" spans="1:3" x14ac:dyDescent="0.25">
      <c r="A77" s="11"/>
      <c r="C77" s="11"/>
    </row>
    <row r="78" spans="1:3" x14ac:dyDescent="0.25">
      <c r="A78" s="11"/>
      <c r="C78" s="11"/>
    </row>
    <row r="79" spans="1:3" x14ac:dyDescent="0.25">
      <c r="A79" s="11"/>
      <c r="C79" s="11"/>
    </row>
    <row r="80" spans="1:3" x14ac:dyDescent="0.25">
      <c r="A80" s="11"/>
      <c r="C80" s="11"/>
    </row>
    <row r="81" spans="1:3" x14ac:dyDescent="0.25">
      <c r="A81" s="11"/>
      <c r="C81" s="11"/>
    </row>
    <row r="82" spans="1:3" x14ac:dyDescent="0.25">
      <c r="A82" s="11"/>
      <c r="C82" s="11"/>
    </row>
    <row r="83" spans="1:3" x14ac:dyDescent="0.25">
      <c r="A83" s="11"/>
      <c r="C83" s="11"/>
    </row>
    <row r="84" spans="1:3" x14ac:dyDescent="0.25">
      <c r="A84" s="11"/>
      <c r="C84" s="11"/>
    </row>
    <row r="85" spans="1:3" x14ac:dyDescent="0.25">
      <c r="A85" s="11"/>
      <c r="C85" s="11"/>
    </row>
    <row r="86" spans="1:3" x14ac:dyDescent="0.25">
      <c r="A86" s="11"/>
      <c r="C86" s="11"/>
    </row>
    <row r="87" spans="1:3" x14ac:dyDescent="0.25">
      <c r="A87" s="11"/>
      <c r="C87" s="11"/>
    </row>
    <row r="88" spans="1:3" x14ac:dyDescent="0.25">
      <c r="A88" s="11"/>
      <c r="C88" s="11"/>
    </row>
    <row r="89" spans="1:3" x14ac:dyDescent="0.25">
      <c r="A89" s="11"/>
      <c r="C89" s="11"/>
    </row>
    <row r="90" spans="1:3" x14ac:dyDescent="0.25">
      <c r="A90" s="11"/>
      <c r="C90" s="11"/>
    </row>
    <row r="91" spans="1:3" x14ac:dyDescent="0.25">
      <c r="A91" s="11"/>
      <c r="C91" s="11"/>
    </row>
    <row r="92" spans="1:3" x14ac:dyDescent="0.25">
      <c r="A92" s="11"/>
      <c r="C92" s="11"/>
    </row>
    <row r="93" spans="1:3" x14ac:dyDescent="0.25">
      <c r="A93" s="11"/>
      <c r="C93" s="11"/>
    </row>
    <row r="94" spans="1:3" x14ac:dyDescent="0.25">
      <c r="A94" s="11"/>
      <c r="C94" s="11"/>
    </row>
    <row r="95" spans="1:3" x14ac:dyDescent="0.25">
      <c r="A95" s="11"/>
      <c r="C95" s="11"/>
    </row>
    <row r="96" spans="1:3" x14ac:dyDescent="0.25">
      <c r="A96" s="11"/>
      <c r="C96" s="11"/>
    </row>
    <row r="97" spans="1:3" x14ac:dyDescent="0.25">
      <c r="A97" s="11"/>
      <c r="C97" s="11"/>
    </row>
    <row r="98" spans="1:3" x14ac:dyDescent="0.25">
      <c r="A98" s="11"/>
      <c r="C98" s="11"/>
    </row>
    <row r="99" spans="1:3" x14ac:dyDescent="0.25">
      <c r="A99" s="11"/>
      <c r="C99" s="11"/>
    </row>
    <row r="100" spans="1:3" x14ac:dyDescent="0.25">
      <c r="A100" s="11"/>
      <c r="C100" s="11"/>
    </row>
    <row r="101" spans="1:3" x14ac:dyDescent="0.25">
      <c r="A101" s="11"/>
      <c r="C101" s="11"/>
    </row>
    <row r="102" spans="1:3" x14ac:dyDescent="0.25">
      <c r="A102" s="11"/>
      <c r="C102" s="11"/>
    </row>
  </sheetData>
  <mergeCells count="3">
    <mergeCell ref="A1:F1"/>
    <mergeCell ref="A21:F21"/>
    <mergeCell ref="J1:T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658C8-DAF6-4977-B5BD-BB7BA0C98B55}">
  <sheetPr codeName="Sheet15"/>
  <dimension ref="A1:AB102"/>
  <sheetViews>
    <sheetView tabSelected="1" topLeftCell="A9" workbookViewId="0">
      <selection activeCell="A39" sqref="A39:A51"/>
    </sheetView>
  </sheetViews>
  <sheetFormatPr defaultRowHeight="15" x14ac:dyDescent="0.25"/>
  <cols>
    <col min="1" max="1" width="29" customWidth="1"/>
    <col min="2" max="2" width="16.85546875" customWidth="1"/>
    <col min="3" max="3" width="60.5703125" customWidth="1"/>
    <col min="4" max="4" width="18" customWidth="1"/>
    <col min="5" max="7" width="15.28515625" customWidth="1"/>
    <col min="9" max="9" width="30.5703125" customWidth="1"/>
    <col min="11" max="11" width="18.5703125" customWidth="1"/>
    <col min="12" max="12" width="16.28515625" customWidth="1"/>
    <col min="13" max="13" width="17.140625" customWidth="1"/>
    <col min="14" max="14" width="12.7109375" customWidth="1"/>
    <col min="15" max="15" width="14.7109375" customWidth="1"/>
    <col min="16" max="16" width="35.5703125" customWidth="1"/>
    <col min="17" max="17" width="13.7109375" customWidth="1"/>
    <col min="18" max="18" width="11.85546875" customWidth="1"/>
    <col min="19" max="19" width="15.5703125" customWidth="1"/>
    <col min="20" max="20" width="13.28515625" customWidth="1"/>
    <col min="24" max="24" width="30.5703125" customWidth="1"/>
    <col min="25" max="25" width="19" customWidth="1"/>
    <col min="26" max="26" width="17.5703125" customWidth="1"/>
    <col min="27" max="27" width="36.140625" customWidth="1"/>
    <col min="28" max="28" width="25.85546875" customWidth="1"/>
  </cols>
  <sheetData>
    <row r="1" spans="1:28" x14ac:dyDescent="0.25">
      <c r="A1" s="40" t="s">
        <v>175</v>
      </c>
      <c r="B1" s="41"/>
      <c r="C1" s="41"/>
      <c r="D1" s="41"/>
      <c r="E1" s="41"/>
      <c r="F1" s="42"/>
      <c r="G1" s="17"/>
      <c r="I1" s="34" t="s">
        <v>209</v>
      </c>
      <c r="K1" s="44" t="s">
        <v>210</v>
      </c>
      <c r="L1" s="44"/>
      <c r="M1" s="44"/>
      <c r="N1" s="44"/>
      <c r="O1" s="44"/>
      <c r="P1" s="44"/>
      <c r="Q1" s="44"/>
      <c r="R1" s="44"/>
      <c r="S1" s="44"/>
      <c r="T1" s="44"/>
      <c r="U1" s="44"/>
      <c r="X1" s="44" t="s">
        <v>258</v>
      </c>
      <c r="Y1" s="44"/>
      <c r="Z1" s="44"/>
      <c r="AA1" s="44"/>
      <c r="AB1" s="44"/>
    </row>
    <row r="2" spans="1:28" x14ac:dyDescent="0.25">
      <c r="A2" s="25" t="s">
        <v>0</v>
      </c>
      <c r="B2" s="25" t="s">
        <v>153</v>
      </c>
      <c r="C2" s="25" t="s">
        <v>3</v>
      </c>
      <c r="D2" s="25" t="s">
        <v>162</v>
      </c>
      <c r="E2" s="25" t="s">
        <v>158</v>
      </c>
      <c r="F2" s="25" t="s">
        <v>163</v>
      </c>
      <c r="G2" s="17"/>
      <c r="I2" s="31"/>
      <c r="K2" s="30" t="s">
        <v>0</v>
      </c>
      <c r="L2" s="30" t="s">
        <v>1</v>
      </c>
      <c r="M2" s="30" t="s">
        <v>2</v>
      </c>
      <c r="N2" s="30" t="s">
        <v>8</v>
      </c>
      <c r="O2" s="30" t="s">
        <v>22</v>
      </c>
      <c r="P2" s="30" t="s">
        <v>3</v>
      </c>
      <c r="Q2" s="30" t="s">
        <v>7</v>
      </c>
      <c r="R2" s="30" t="s">
        <v>23</v>
      </c>
      <c r="S2" s="30" t="s">
        <v>44</v>
      </c>
      <c r="T2" s="30" t="s">
        <v>142</v>
      </c>
      <c r="U2" s="30"/>
      <c r="X2" s="36" t="s">
        <v>250</v>
      </c>
      <c r="Y2" s="36" t="s">
        <v>260</v>
      </c>
      <c r="Z2" s="36" t="s">
        <v>255</v>
      </c>
      <c r="AA2" s="36" t="s">
        <v>259</v>
      </c>
      <c r="AB2" s="36" t="s">
        <v>3</v>
      </c>
    </row>
    <row r="3" spans="1:28" x14ac:dyDescent="0.25">
      <c r="A3" s="11" t="s">
        <v>168</v>
      </c>
      <c r="B3" s="1">
        <v>200</v>
      </c>
      <c r="C3" s="11" t="s">
        <v>161</v>
      </c>
      <c r="D3" s="1" t="s">
        <v>203</v>
      </c>
      <c r="E3" s="1" t="s">
        <v>167</v>
      </c>
      <c r="F3" s="1">
        <v>5</v>
      </c>
      <c r="G3" s="1"/>
      <c r="I3" s="1"/>
      <c r="K3" s="2" t="s">
        <v>212</v>
      </c>
      <c r="L3" s="2">
        <v>0</v>
      </c>
      <c r="M3" s="2">
        <v>15</v>
      </c>
      <c r="N3" s="2">
        <v>7</v>
      </c>
      <c r="O3" s="2" t="s">
        <v>68</v>
      </c>
      <c r="P3" s="2" t="s">
        <v>4</v>
      </c>
      <c r="Q3" s="2">
        <v>1</v>
      </c>
      <c r="R3" s="2" t="b">
        <v>0</v>
      </c>
      <c r="S3" s="2">
        <v>100</v>
      </c>
      <c r="T3" s="2"/>
      <c r="U3" s="2"/>
      <c r="X3" s="1" t="s">
        <v>251</v>
      </c>
      <c r="Y3" s="1">
        <v>3</v>
      </c>
      <c r="Z3" s="1" t="s">
        <v>196</v>
      </c>
      <c r="AA3" s="1">
        <v>1</v>
      </c>
    </row>
    <row r="4" spans="1:28" x14ac:dyDescent="0.25">
      <c r="A4" t="s">
        <v>176</v>
      </c>
      <c r="B4" s="1">
        <v>0</v>
      </c>
      <c r="C4" t="s">
        <v>177</v>
      </c>
      <c r="D4" s="1" t="s">
        <v>203</v>
      </c>
      <c r="E4" s="1" t="s">
        <v>167</v>
      </c>
      <c r="F4" s="1">
        <v>10</v>
      </c>
      <c r="G4" s="1"/>
      <c r="I4" s="34" t="s">
        <v>213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X4" s="1" t="s">
        <v>251</v>
      </c>
      <c r="Y4" s="1">
        <v>6</v>
      </c>
      <c r="Z4" s="1" t="s">
        <v>196</v>
      </c>
      <c r="AA4" s="1">
        <v>1</v>
      </c>
    </row>
    <row r="5" spans="1:28" x14ac:dyDescent="0.25">
      <c r="A5" t="s">
        <v>178</v>
      </c>
      <c r="B5" s="1">
        <v>0</v>
      </c>
      <c r="C5" t="s">
        <v>179</v>
      </c>
      <c r="D5" s="1" t="s">
        <v>203</v>
      </c>
      <c r="E5" s="1" t="s">
        <v>167</v>
      </c>
      <c r="F5" s="1">
        <v>20</v>
      </c>
      <c r="G5" s="1"/>
      <c r="I5" s="4" t="s">
        <v>68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X5" s="1" t="s">
        <v>251</v>
      </c>
      <c r="Y5" s="1">
        <v>9</v>
      </c>
      <c r="Z5" s="1" t="s">
        <v>256</v>
      </c>
      <c r="AA5" s="1">
        <v>3</v>
      </c>
    </row>
    <row r="6" spans="1:28" x14ac:dyDescent="0.25">
      <c r="A6" t="s">
        <v>180</v>
      </c>
      <c r="B6" s="1">
        <v>0</v>
      </c>
      <c r="C6" t="s">
        <v>181</v>
      </c>
      <c r="D6" s="1" t="s">
        <v>203</v>
      </c>
      <c r="E6" s="1" t="s">
        <v>167</v>
      </c>
      <c r="F6" s="1">
        <v>40</v>
      </c>
      <c r="G6" s="1"/>
      <c r="I6" s="1"/>
    </row>
    <row r="7" spans="1:28" x14ac:dyDescent="0.25">
      <c r="A7" s="11" t="s">
        <v>182</v>
      </c>
      <c r="B7" s="1">
        <v>198</v>
      </c>
      <c r="C7" s="11" t="s">
        <v>187</v>
      </c>
      <c r="D7" s="1" t="s">
        <v>204</v>
      </c>
      <c r="E7" s="1" t="s">
        <v>167</v>
      </c>
      <c r="F7" s="28">
        <v>1</v>
      </c>
      <c r="G7" s="28"/>
      <c r="I7" s="34" t="s">
        <v>214</v>
      </c>
    </row>
    <row r="8" spans="1:28" x14ac:dyDescent="0.25">
      <c r="A8" t="s">
        <v>169</v>
      </c>
      <c r="B8" s="1">
        <v>2</v>
      </c>
      <c r="C8" t="s">
        <v>170</v>
      </c>
      <c r="D8" s="1" t="s">
        <v>203</v>
      </c>
      <c r="E8" s="1" t="s">
        <v>171</v>
      </c>
      <c r="F8" s="1">
        <v>15</v>
      </c>
      <c r="G8" s="1"/>
      <c r="I8" s="4">
        <v>10</v>
      </c>
    </row>
    <row r="9" spans="1:28" x14ac:dyDescent="0.25">
      <c r="A9" s="11" t="s">
        <v>183</v>
      </c>
      <c r="B9" s="1">
        <v>0</v>
      </c>
      <c r="C9" s="11" t="s">
        <v>184</v>
      </c>
      <c r="D9" s="1" t="s">
        <v>203</v>
      </c>
      <c r="E9" s="1" t="s">
        <v>171</v>
      </c>
      <c r="F9" s="1">
        <v>60</v>
      </c>
      <c r="G9" s="1"/>
      <c r="I9" s="1"/>
    </row>
    <row r="10" spans="1:28" x14ac:dyDescent="0.25">
      <c r="A10" s="11" t="s">
        <v>185</v>
      </c>
      <c r="B10" s="1">
        <v>0</v>
      </c>
      <c r="C10" s="11" t="s">
        <v>186</v>
      </c>
      <c r="D10" s="1" t="s">
        <v>203</v>
      </c>
      <c r="E10" s="1" t="s">
        <v>171</v>
      </c>
      <c r="F10" s="1">
        <v>120</v>
      </c>
      <c r="G10" s="1"/>
      <c r="I10" s="34" t="s">
        <v>215</v>
      </c>
    </row>
    <row r="11" spans="1:28" x14ac:dyDescent="0.25">
      <c r="A11" s="11" t="s">
        <v>190</v>
      </c>
      <c r="B11" s="1">
        <v>0</v>
      </c>
      <c r="C11" s="11" t="s">
        <v>188</v>
      </c>
      <c r="D11" s="1" t="s">
        <v>203</v>
      </c>
      <c r="E11" s="1" t="s">
        <v>171</v>
      </c>
      <c r="F11" s="1">
        <v>240</v>
      </c>
      <c r="G11" s="1"/>
      <c r="I11" s="31">
        <v>232</v>
      </c>
    </row>
    <row r="12" spans="1:28" x14ac:dyDescent="0.25">
      <c r="A12" s="11" t="s">
        <v>189</v>
      </c>
      <c r="B12" s="1">
        <v>0</v>
      </c>
      <c r="C12" s="11" t="s">
        <v>191</v>
      </c>
      <c r="D12" s="1" t="s">
        <v>204</v>
      </c>
      <c r="E12" s="1" t="s">
        <v>171</v>
      </c>
      <c r="F12" s="28">
        <v>1</v>
      </c>
      <c r="G12" s="28"/>
      <c r="I12" s="1"/>
    </row>
    <row r="13" spans="1:28" x14ac:dyDescent="0.25">
      <c r="A13" s="11"/>
      <c r="C13" s="11"/>
      <c r="I13" s="34" t="s">
        <v>216</v>
      </c>
    </row>
    <row r="14" spans="1:28" x14ac:dyDescent="0.25">
      <c r="A14" s="11"/>
      <c r="C14" s="11"/>
      <c r="I14" s="31" t="s">
        <v>221</v>
      </c>
    </row>
    <row r="15" spans="1:28" x14ac:dyDescent="0.25">
      <c r="A15" s="11"/>
      <c r="C15" s="11"/>
      <c r="I15" s="1"/>
    </row>
    <row r="16" spans="1:28" x14ac:dyDescent="0.25">
      <c r="A16" s="11"/>
      <c r="C16" s="11"/>
      <c r="I16" s="34" t="s">
        <v>217</v>
      </c>
    </row>
    <row r="17" spans="1:9" x14ac:dyDescent="0.25">
      <c r="A17" s="11"/>
      <c r="C17" s="11"/>
      <c r="I17" s="31">
        <f>SUMIF($E$21:$E$33,"mana regen",$F$21:$F$33)+SUMIF($Z$3:$Z$5,"mana regen",$AA$3:$AA$5)</f>
        <v>6</v>
      </c>
    </row>
    <row r="18" spans="1:9" x14ac:dyDescent="0.25">
      <c r="A18" s="11"/>
      <c r="C18" s="11"/>
      <c r="I18" s="1"/>
    </row>
    <row r="19" spans="1:9" x14ac:dyDescent="0.25">
      <c r="A19" s="43" t="s">
        <v>261</v>
      </c>
      <c r="B19" s="43"/>
      <c r="C19" s="43"/>
      <c r="D19" s="43"/>
      <c r="E19" s="43"/>
      <c r="F19" s="43"/>
      <c r="G19" s="20"/>
      <c r="I19" s="34" t="s">
        <v>218</v>
      </c>
    </row>
    <row r="20" spans="1:9" x14ac:dyDescent="0.25">
      <c r="A20" s="50" t="s">
        <v>0</v>
      </c>
      <c r="B20" s="49" t="s">
        <v>265</v>
      </c>
      <c r="C20" s="50" t="s">
        <v>3</v>
      </c>
      <c r="D20" s="36" t="s">
        <v>250</v>
      </c>
      <c r="E20" s="49" t="s">
        <v>158</v>
      </c>
      <c r="F20" s="36" t="s">
        <v>194</v>
      </c>
      <c r="G20" s="17"/>
      <c r="I20" s="31">
        <v>0</v>
      </c>
    </row>
    <row r="21" spans="1:9" x14ac:dyDescent="0.25">
      <c r="A21" t="s">
        <v>227</v>
      </c>
      <c r="B21" t="s">
        <v>232</v>
      </c>
      <c r="C21" s="11" t="s">
        <v>241</v>
      </c>
      <c r="D21" s="13" t="s">
        <v>251</v>
      </c>
      <c r="E21" s="1" t="s">
        <v>196</v>
      </c>
      <c r="F21" s="1">
        <v>0.25</v>
      </c>
      <c r="G21" s="19"/>
      <c r="I21" s="1"/>
    </row>
    <row r="22" spans="1:9" x14ac:dyDescent="0.25">
      <c r="A22" t="s">
        <v>262</v>
      </c>
      <c r="B22" t="s">
        <v>263</v>
      </c>
      <c r="C22" s="11" t="s">
        <v>264</v>
      </c>
      <c r="D22" s="13" t="s">
        <v>21</v>
      </c>
      <c r="E22" s="1" t="s">
        <v>21</v>
      </c>
      <c r="F22" s="1">
        <v>0</v>
      </c>
      <c r="G22" s="19"/>
      <c r="I22" s="34" t="s">
        <v>219</v>
      </c>
    </row>
    <row r="23" spans="1:9" x14ac:dyDescent="0.25">
      <c r="A23" t="s">
        <v>224</v>
      </c>
      <c r="B23" t="s">
        <v>233</v>
      </c>
      <c r="C23" s="11" t="s">
        <v>242</v>
      </c>
      <c r="D23" s="13" t="s">
        <v>251</v>
      </c>
      <c r="E23" s="1" t="s">
        <v>196</v>
      </c>
      <c r="F23" s="1">
        <v>0.25</v>
      </c>
      <c r="G23" s="19"/>
      <c r="I23" s="4">
        <f>IF(I26+1 &lt; 21, VLOOKUP(I26+1,Table_0[[Level]:[Experience Points]],2,FALSE)-I20, 0)</f>
        <v>300</v>
      </c>
    </row>
    <row r="24" spans="1:9" x14ac:dyDescent="0.25">
      <c r="A24" t="s">
        <v>225</v>
      </c>
      <c r="B24" t="s">
        <v>234</v>
      </c>
      <c r="C24" t="s">
        <v>243</v>
      </c>
      <c r="D24" s="13" t="s">
        <v>251</v>
      </c>
      <c r="E24" s="1" t="s">
        <v>196</v>
      </c>
      <c r="F24" s="1">
        <v>0.25</v>
      </c>
      <c r="G24" s="19"/>
      <c r="I24" s="1"/>
    </row>
    <row r="25" spans="1:9" x14ac:dyDescent="0.25">
      <c r="A25" t="s">
        <v>172</v>
      </c>
      <c r="B25" t="s">
        <v>235</v>
      </c>
      <c r="C25" t="s">
        <v>244</v>
      </c>
      <c r="D25" s="13" t="s">
        <v>251</v>
      </c>
      <c r="E25" s="1" t="s">
        <v>196</v>
      </c>
      <c r="F25" s="1">
        <v>0.25</v>
      </c>
      <c r="G25" s="19"/>
      <c r="I25" s="34" t="s">
        <v>220</v>
      </c>
    </row>
    <row r="26" spans="1:9" x14ac:dyDescent="0.25">
      <c r="A26" t="s">
        <v>226</v>
      </c>
      <c r="B26" t="s">
        <v>236</v>
      </c>
      <c r="C26" t="s">
        <v>245</v>
      </c>
      <c r="D26" s="13" t="s">
        <v>251</v>
      </c>
      <c r="E26" s="1" t="s">
        <v>196</v>
      </c>
      <c r="F26" s="1">
        <v>0.25</v>
      </c>
      <c r="G26" s="19"/>
      <c r="I26" s="4">
        <v>1</v>
      </c>
    </row>
    <row r="27" spans="1:9" x14ac:dyDescent="0.25">
      <c r="A27" t="s">
        <v>228</v>
      </c>
      <c r="B27" t="s">
        <v>237</v>
      </c>
      <c r="C27" t="s">
        <v>246</v>
      </c>
      <c r="D27" s="13" t="s">
        <v>251</v>
      </c>
      <c r="E27" s="1" t="s">
        <v>196</v>
      </c>
      <c r="F27" s="1">
        <v>0.25</v>
      </c>
      <c r="G27" s="19"/>
      <c r="I27" s="1"/>
    </row>
    <row r="28" spans="1:9" x14ac:dyDescent="0.25">
      <c r="A28" t="s">
        <v>229</v>
      </c>
      <c r="B28" t="s">
        <v>238</v>
      </c>
      <c r="C28" t="s">
        <v>247</v>
      </c>
      <c r="D28" s="13" t="s">
        <v>251</v>
      </c>
      <c r="E28" s="1" t="s">
        <v>196</v>
      </c>
      <c r="F28" s="1">
        <v>0.25</v>
      </c>
      <c r="G28" s="19"/>
    </row>
    <row r="29" spans="1:9" x14ac:dyDescent="0.25">
      <c r="A29" t="s">
        <v>230</v>
      </c>
      <c r="B29" t="s">
        <v>239</v>
      </c>
      <c r="C29" t="s">
        <v>248</v>
      </c>
      <c r="D29" s="13" t="s">
        <v>251</v>
      </c>
      <c r="E29" s="1" t="s">
        <v>196</v>
      </c>
      <c r="F29" s="1">
        <v>0.25</v>
      </c>
      <c r="G29" s="19"/>
      <c r="I29" s="51"/>
    </row>
    <row r="30" spans="1:9" x14ac:dyDescent="0.25">
      <c r="A30" t="s">
        <v>231</v>
      </c>
      <c r="B30" t="s">
        <v>240</v>
      </c>
      <c r="C30" t="s">
        <v>249</v>
      </c>
      <c r="D30" s="13" t="s">
        <v>251</v>
      </c>
      <c r="E30" s="1" t="s">
        <v>196</v>
      </c>
      <c r="F30" s="1">
        <v>0.25</v>
      </c>
      <c r="G30" s="19"/>
      <c r="I30" s="51"/>
    </row>
    <row r="31" spans="1:9" x14ac:dyDescent="0.25">
      <c r="A31" t="s">
        <v>279</v>
      </c>
      <c r="B31" t="s">
        <v>278</v>
      </c>
      <c r="C31" t="s">
        <v>268</v>
      </c>
      <c r="D31" s="13" t="s">
        <v>21</v>
      </c>
      <c r="E31" s="1" t="s">
        <v>21</v>
      </c>
      <c r="F31" s="1">
        <v>0</v>
      </c>
      <c r="G31" s="19"/>
      <c r="I31" s="51"/>
    </row>
    <row r="32" spans="1:9" x14ac:dyDescent="0.25">
      <c r="A32" t="s">
        <v>280</v>
      </c>
      <c r="B32" t="s">
        <v>278</v>
      </c>
      <c r="C32" t="s">
        <v>268</v>
      </c>
      <c r="D32" s="13" t="s">
        <v>21</v>
      </c>
      <c r="E32" s="1" t="s">
        <v>21</v>
      </c>
      <c r="F32" s="1">
        <v>0</v>
      </c>
      <c r="G32" s="19"/>
      <c r="I32" s="1"/>
    </row>
    <row r="33" spans="1:9" x14ac:dyDescent="0.25">
      <c r="A33" s="11" t="s">
        <v>165</v>
      </c>
      <c r="B33" t="s">
        <v>193</v>
      </c>
      <c r="C33" s="11" t="s">
        <v>174</v>
      </c>
      <c r="D33" s="13" t="s">
        <v>21</v>
      </c>
      <c r="E33" s="1" t="s">
        <v>196</v>
      </c>
      <c r="F33" s="1">
        <v>1.75</v>
      </c>
      <c r="G33" s="19"/>
      <c r="I33" s="1"/>
    </row>
    <row r="34" spans="1:9" x14ac:dyDescent="0.25">
      <c r="A34" s="15" t="s">
        <v>21</v>
      </c>
      <c r="B34" s="15" t="s">
        <v>271</v>
      </c>
      <c r="C34" s="15" t="s">
        <v>21</v>
      </c>
      <c r="D34" s="1" t="s">
        <v>21</v>
      </c>
      <c r="E34" s="1" t="s">
        <v>21</v>
      </c>
      <c r="F34" s="1">
        <v>0</v>
      </c>
      <c r="I34" s="1"/>
    </row>
    <row r="35" spans="1:9" x14ac:dyDescent="0.25">
      <c r="A35" s="11"/>
      <c r="C35" s="11"/>
      <c r="I35" s="1"/>
    </row>
    <row r="36" spans="1:9" x14ac:dyDescent="0.25">
      <c r="A36" s="11"/>
      <c r="C36" s="11"/>
      <c r="I36" s="1"/>
    </row>
    <row r="37" spans="1:9" x14ac:dyDescent="0.25">
      <c r="A37" s="43" t="s">
        <v>269</v>
      </c>
      <c r="B37" s="43"/>
      <c r="C37" s="43"/>
      <c r="D37" s="43"/>
      <c r="E37" s="43"/>
      <c r="F37" s="43"/>
      <c r="G37" s="43"/>
    </row>
    <row r="38" spans="1:9" x14ac:dyDescent="0.25">
      <c r="A38" s="50" t="s">
        <v>0</v>
      </c>
      <c r="B38" s="49" t="s">
        <v>265</v>
      </c>
      <c r="C38" s="50" t="s">
        <v>3</v>
      </c>
      <c r="D38" s="36" t="s">
        <v>250</v>
      </c>
      <c r="E38" s="49" t="s">
        <v>158</v>
      </c>
      <c r="F38" s="49" t="s">
        <v>194</v>
      </c>
      <c r="G38" s="49" t="s">
        <v>157</v>
      </c>
    </row>
    <row r="39" spans="1:9" x14ac:dyDescent="0.25">
      <c r="A39" t="s">
        <v>227</v>
      </c>
      <c r="B39" t="s">
        <v>232</v>
      </c>
      <c r="C39" s="11" t="s">
        <v>241</v>
      </c>
      <c r="D39" s="13" t="s">
        <v>251</v>
      </c>
      <c r="E39" s="1" t="s">
        <v>196</v>
      </c>
      <c r="F39" s="1">
        <v>0.25</v>
      </c>
      <c r="G39" t="b">
        <v>1</v>
      </c>
    </row>
    <row r="40" spans="1:9" x14ac:dyDescent="0.25">
      <c r="A40" t="s">
        <v>262</v>
      </c>
      <c r="B40" t="s">
        <v>263</v>
      </c>
      <c r="C40" s="11" t="s">
        <v>264</v>
      </c>
      <c r="D40" s="13" t="s">
        <v>21</v>
      </c>
      <c r="E40" s="1" t="s">
        <v>21</v>
      </c>
      <c r="F40" s="1">
        <v>0</v>
      </c>
      <c r="G40" t="b">
        <v>1</v>
      </c>
    </row>
    <row r="41" spans="1:9" x14ac:dyDescent="0.25">
      <c r="A41" t="s">
        <v>224</v>
      </c>
      <c r="B41" t="s">
        <v>233</v>
      </c>
      <c r="C41" s="11" t="s">
        <v>242</v>
      </c>
      <c r="D41" s="13" t="s">
        <v>251</v>
      </c>
      <c r="E41" s="1" t="s">
        <v>196</v>
      </c>
      <c r="F41" s="1">
        <v>0.25</v>
      </c>
      <c r="G41" t="b">
        <v>1</v>
      </c>
    </row>
    <row r="42" spans="1:9" x14ac:dyDescent="0.25">
      <c r="A42" t="s">
        <v>225</v>
      </c>
      <c r="B42" t="s">
        <v>234</v>
      </c>
      <c r="C42" t="s">
        <v>243</v>
      </c>
      <c r="D42" s="13" t="s">
        <v>251</v>
      </c>
      <c r="E42" s="1" t="s">
        <v>196</v>
      </c>
      <c r="F42" s="1">
        <v>0.25</v>
      </c>
      <c r="G42" t="b">
        <v>1</v>
      </c>
    </row>
    <row r="43" spans="1:9" x14ac:dyDescent="0.25">
      <c r="A43" t="s">
        <v>172</v>
      </c>
      <c r="B43" t="s">
        <v>235</v>
      </c>
      <c r="C43" t="s">
        <v>244</v>
      </c>
      <c r="D43" s="13" t="s">
        <v>251</v>
      </c>
      <c r="E43" s="1" t="s">
        <v>196</v>
      </c>
      <c r="F43" s="1">
        <v>0.25</v>
      </c>
      <c r="G43" t="b">
        <v>1</v>
      </c>
    </row>
    <row r="44" spans="1:9" x14ac:dyDescent="0.25">
      <c r="A44" t="s">
        <v>226</v>
      </c>
      <c r="B44" t="s">
        <v>236</v>
      </c>
      <c r="C44" t="s">
        <v>245</v>
      </c>
      <c r="D44" s="13" t="s">
        <v>251</v>
      </c>
      <c r="E44" s="1" t="s">
        <v>196</v>
      </c>
      <c r="F44" s="1">
        <v>0.25</v>
      </c>
      <c r="G44" t="b">
        <v>1</v>
      </c>
    </row>
    <row r="45" spans="1:9" x14ac:dyDescent="0.25">
      <c r="A45" t="s">
        <v>228</v>
      </c>
      <c r="B45" t="s">
        <v>237</v>
      </c>
      <c r="C45" t="s">
        <v>246</v>
      </c>
      <c r="D45" s="13" t="s">
        <v>251</v>
      </c>
      <c r="E45" s="1" t="s">
        <v>196</v>
      </c>
      <c r="F45" s="1">
        <v>0.25</v>
      </c>
      <c r="G45" t="b">
        <v>1</v>
      </c>
    </row>
    <row r="46" spans="1:9" x14ac:dyDescent="0.25">
      <c r="A46" t="s">
        <v>229</v>
      </c>
      <c r="B46" t="s">
        <v>238</v>
      </c>
      <c r="C46" t="s">
        <v>247</v>
      </c>
      <c r="D46" s="13" t="s">
        <v>251</v>
      </c>
      <c r="E46" s="1" t="s">
        <v>196</v>
      </c>
      <c r="F46" s="1">
        <v>0.25</v>
      </c>
      <c r="G46" t="b">
        <v>1</v>
      </c>
    </row>
    <row r="47" spans="1:9" x14ac:dyDescent="0.25">
      <c r="A47" t="s">
        <v>230</v>
      </c>
      <c r="B47" t="s">
        <v>239</v>
      </c>
      <c r="C47" t="s">
        <v>248</v>
      </c>
      <c r="D47" s="13" t="s">
        <v>251</v>
      </c>
      <c r="E47" s="1" t="s">
        <v>196</v>
      </c>
      <c r="F47" s="1">
        <v>0.25</v>
      </c>
      <c r="G47" t="b">
        <v>1</v>
      </c>
    </row>
    <row r="48" spans="1:9" x14ac:dyDescent="0.25">
      <c r="A48" t="s">
        <v>231</v>
      </c>
      <c r="B48" t="s">
        <v>240</v>
      </c>
      <c r="C48" t="s">
        <v>249</v>
      </c>
      <c r="D48" s="13" t="s">
        <v>251</v>
      </c>
      <c r="E48" s="1" t="s">
        <v>196</v>
      </c>
      <c r="F48" s="1">
        <v>0.25</v>
      </c>
      <c r="G48" t="b">
        <v>1</v>
      </c>
    </row>
    <row r="49" spans="1:7" x14ac:dyDescent="0.25">
      <c r="A49" t="s">
        <v>279</v>
      </c>
      <c r="B49" t="s">
        <v>278</v>
      </c>
      <c r="C49" t="s">
        <v>268</v>
      </c>
      <c r="D49" s="13" t="s">
        <v>21</v>
      </c>
      <c r="E49" s="1" t="s">
        <v>21</v>
      </c>
      <c r="F49" s="1">
        <v>0</v>
      </c>
      <c r="G49" t="b">
        <v>1</v>
      </c>
    </row>
    <row r="50" spans="1:7" x14ac:dyDescent="0.25">
      <c r="A50" t="s">
        <v>280</v>
      </c>
      <c r="B50" t="s">
        <v>278</v>
      </c>
      <c r="C50" t="s">
        <v>268</v>
      </c>
      <c r="D50" s="13" t="s">
        <v>21</v>
      </c>
      <c r="E50" s="1" t="s">
        <v>21</v>
      </c>
      <c r="F50" s="1">
        <v>0</v>
      </c>
      <c r="G50" t="b">
        <v>1</v>
      </c>
    </row>
    <row r="51" spans="1:7" x14ac:dyDescent="0.25">
      <c r="A51" s="11" t="s">
        <v>165</v>
      </c>
      <c r="B51" t="s">
        <v>193</v>
      </c>
      <c r="C51" s="11" t="s">
        <v>174</v>
      </c>
      <c r="D51" s="13" t="s">
        <v>21</v>
      </c>
      <c r="E51" s="1" t="s">
        <v>196</v>
      </c>
      <c r="F51" s="1">
        <v>1.75</v>
      </c>
      <c r="G51" t="b">
        <v>1</v>
      </c>
    </row>
    <row r="52" spans="1:7" x14ac:dyDescent="0.25">
      <c r="A52" s="11"/>
      <c r="C52" s="11"/>
    </row>
    <row r="53" spans="1:7" x14ac:dyDescent="0.25">
      <c r="A53" s="11"/>
      <c r="C53" s="11"/>
    </row>
    <row r="54" spans="1:7" x14ac:dyDescent="0.25">
      <c r="A54" s="11"/>
      <c r="C54" s="11"/>
    </row>
    <row r="55" spans="1:7" x14ac:dyDescent="0.25">
      <c r="A55" s="11"/>
      <c r="C55" s="11"/>
    </row>
    <row r="56" spans="1:7" x14ac:dyDescent="0.25">
      <c r="A56" s="11"/>
      <c r="C56" s="11"/>
    </row>
    <row r="57" spans="1:7" x14ac:dyDescent="0.25">
      <c r="A57" s="11"/>
      <c r="C57" s="11"/>
    </row>
    <row r="58" spans="1:7" x14ac:dyDescent="0.25">
      <c r="A58" s="11"/>
      <c r="C58" s="11"/>
    </row>
    <row r="59" spans="1:7" x14ac:dyDescent="0.25">
      <c r="A59" s="11"/>
      <c r="C59" s="11"/>
    </row>
    <row r="60" spans="1:7" x14ac:dyDescent="0.25">
      <c r="A60" s="11"/>
      <c r="C60" s="11"/>
    </row>
    <row r="61" spans="1:7" x14ac:dyDescent="0.25">
      <c r="A61" s="11"/>
      <c r="C61" s="11"/>
    </row>
    <row r="62" spans="1:7" x14ac:dyDescent="0.25">
      <c r="A62" s="11"/>
      <c r="C62" s="11"/>
    </row>
    <row r="63" spans="1:7" x14ac:dyDescent="0.25">
      <c r="A63" s="11"/>
      <c r="C63" s="11"/>
    </row>
    <row r="64" spans="1:7" x14ac:dyDescent="0.25">
      <c r="A64" s="11"/>
      <c r="C64" s="11"/>
    </row>
    <row r="65" spans="1:3" x14ac:dyDescent="0.25">
      <c r="A65" s="11"/>
      <c r="C65" s="11"/>
    </row>
    <row r="66" spans="1:3" x14ac:dyDescent="0.25">
      <c r="A66" s="11"/>
      <c r="C66" s="11"/>
    </row>
    <row r="67" spans="1:3" x14ac:dyDescent="0.25">
      <c r="A67" s="11"/>
      <c r="C67" s="11"/>
    </row>
    <row r="68" spans="1:3" x14ac:dyDescent="0.25">
      <c r="A68" s="11"/>
      <c r="C68" s="11"/>
    </row>
    <row r="69" spans="1:3" x14ac:dyDescent="0.25">
      <c r="A69" s="11"/>
      <c r="C69" s="11"/>
    </row>
    <row r="70" spans="1:3" x14ac:dyDescent="0.25">
      <c r="A70" s="11"/>
      <c r="C70" s="11"/>
    </row>
    <row r="71" spans="1:3" x14ac:dyDescent="0.25">
      <c r="A71" s="11"/>
      <c r="C71" s="11"/>
    </row>
    <row r="72" spans="1:3" x14ac:dyDescent="0.25">
      <c r="A72" s="11"/>
      <c r="C72" s="11"/>
    </row>
    <row r="73" spans="1:3" x14ac:dyDescent="0.25">
      <c r="A73" s="11"/>
      <c r="C73" s="11"/>
    </row>
    <row r="74" spans="1:3" x14ac:dyDescent="0.25">
      <c r="A74" s="11"/>
      <c r="C74" s="11"/>
    </row>
    <row r="75" spans="1:3" x14ac:dyDescent="0.25">
      <c r="A75" s="11"/>
      <c r="C75" s="11"/>
    </row>
    <row r="76" spans="1:3" x14ac:dyDescent="0.25">
      <c r="A76" s="11"/>
      <c r="C76" s="11"/>
    </row>
    <row r="77" spans="1:3" x14ac:dyDescent="0.25">
      <c r="A77" s="11"/>
      <c r="C77" s="11"/>
    </row>
    <row r="78" spans="1:3" x14ac:dyDescent="0.25">
      <c r="A78" s="11"/>
      <c r="C78" s="11"/>
    </row>
    <row r="79" spans="1:3" x14ac:dyDescent="0.25">
      <c r="A79" s="11"/>
      <c r="C79" s="11"/>
    </row>
    <row r="80" spans="1:3" x14ac:dyDescent="0.25">
      <c r="A80" s="11"/>
      <c r="C80" s="11"/>
    </row>
    <row r="81" spans="1:3" x14ac:dyDescent="0.25">
      <c r="A81" s="11"/>
      <c r="C81" s="11"/>
    </row>
    <row r="82" spans="1:3" x14ac:dyDescent="0.25">
      <c r="A82" s="11"/>
      <c r="C82" s="11"/>
    </row>
    <row r="83" spans="1:3" x14ac:dyDescent="0.25">
      <c r="A83" s="11"/>
      <c r="C83" s="11"/>
    </row>
    <row r="84" spans="1:3" x14ac:dyDescent="0.25">
      <c r="A84" s="11"/>
      <c r="C84" s="11"/>
    </row>
    <row r="85" spans="1:3" x14ac:dyDescent="0.25">
      <c r="A85" s="11"/>
      <c r="C85" s="11"/>
    </row>
    <row r="86" spans="1:3" x14ac:dyDescent="0.25">
      <c r="A86" s="11"/>
      <c r="C86" s="11"/>
    </row>
    <row r="87" spans="1:3" x14ac:dyDescent="0.25">
      <c r="A87" s="11"/>
      <c r="C87" s="11"/>
    </row>
    <row r="88" spans="1:3" x14ac:dyDescent="0.25">
      <c r="A88" s="11"/>
      <c r="C88" s="11"/>
    </row>
    <row r="89" spans="1:3" x14ac:dyDescent="0.25">
      <c r="A89" s="11"/>
      <c r="C89" s="11"/>
    </row>
    <row r="90" spans="1:3" x14ac:dyDescent="0.25">
      <c r="A90" s="11"/>
      <c r="C90" s="11"/>
    </row>
    <row r="91" spans="1:3" x14ac:dyDescent="0.25">
      <c r="A91" s="11"/>
      <c r="C91" s="11"/>
    </row>
    <row r="92" spans="1:3" x14ac:dyDescent="0.25">
      <c r="A92" s="11"/>
      <c r="C92" s="11"/>
    </row>
    <row r="93" spans="1:3" x14ac:dyDescent="0.25">
      <c r="A93" s="11"/>
      <c r="C93" s="11"/>
    </row>
    <row r="94" spans="1:3" x14ac:dyDescent="0.25">
      <c r="A94" s="11"/>
      <c r="C94" s="11"/>
    </row>
    <row r="95" spans="1:3" x14ac:dyDescent="0.25">
      <c r="A95" s="11"/>
      <c r="C95" s="11"/>
    </row>
    <row r="96" spans="1:3" x14ac:dyDescent="0.25">
      <c r="A96" s="11"/>
      <c r="C96" s="11"/>
    </row>
    <row r="97" spans="1:3" x14ac:dyDescent="0.25">
      <c r="A97" s="11"/>
      <c r="C97" s="11"/>
    </row>
    <row r="98" spans="1:3" x14ac:dyDescent="0.25">
      <c r="A98" s="11"/>
      <c r="C98" s="11"/>
    </row>
    <row r="99" spans="1:3" x14ac:dyDescent="0.25">
      <c r="A99" s="11"/>
      <c r="C99" s="11"/>
    </row>
    <row r="100" spans="1:3" x14ac:dyDescent="0.25">
      <c r="A100" s="11"/>
      <c r="C100" s="11"/>
    </row>
    <row r="101" spans="1:3" x14ac:dyDescent="0.25">
      <c r="A101" s="11"/>
      <c r="C101" s="11"/>
    </row>
    <row r="102" spans="1:3" x14ac:dyDescent="0.25">
      <c r="A102" s="11"/>
      <c r="C102" s="11"/>
    </row>
  </sheetData>
  <mergeCells count="5">
    <mergeCell ref="A37:G37"/>
    <mergeCell ref="A1:F1"/>
    <mergeCell ref="A19:F19"/>
    <mergeCell ref="K1:U1"/>
    <mergeCell ref="X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D3E-E012-405E-8420-4A3F6B7AE567}">
  <sheetPr codeName="Sheet9"/>
  <dimension ref="A1:C15"/>
  <sheetViews>
    <sheetView workbookViewId="0">
      <selection activeCell="B19" sqref="B19"/>
    </sheetView>
  </sheetViews>
  <sheetFormatPr defaultRowHeight="15" x14ac:dyDescent="0.25"/>
  <cols>
    <col min="1" max="1" width="12.7109375" customWidth="1"/>
    <col min="2" max="2" width="82.5703125" customWidth="1"/>
    <col min="3" max="3" width="17.28515625" customWidth="1"/>
  </cols>
  <sheetData>
    <row r="1" spans="1:3" x14ac:dyDescent="0.25">
      <c r="A1" s="10" t="s">
        <v>63</v>
      </c>
      <c r="B1" s="12" t="s">
        <v>3</v>
      </c>
      <c r="C1" s="10" t="s">
        <v>73</v>
      </c>
    </row>
    <row r="2" spans="1:3" ht="30" x14ac:dyDescent="0.25">
      <c r="A2" s="1" t="s">
        <v>59</v>
      </c>
      <c r="B2" s="11" t="s">
        <v>72</v>
      </c>
      <c r="C2" s="11" t="s">
        <v>74</v>
      </c>
    </row>
    <row r="3" spans="1:3" ht="30" x14ac:dyDescent="0.25">
      <c r="A3" s="1" t="s">
        <v>67</v>
      </c>
      <c r="B3" s="11" t="s">
        <v>79</v>
      </c>
      <c r="C3" s="11" t="s">
        <v>74</v>
      </c>
    </row>
    <row r="4" spans="1:3" ht="30" x14ac:dyDescent="0.25">
      <c r="A4" s="1" t="s">
        <v>65</v>
      </c>
      <c r="B4" s="11" t="s">
        <v>70</v>
      </c>
      <c r="C4" s="11" t="s">
        <v>74</v>
      </c>
    </row>
    <row r="5" spans="1:3" ht="30" x14ac:dyDescent="0.25">
      <c r="A5" s="1" t="s">
        <v>15</v>
      </c>
      <c r="B5" s="11" t="s">
        <v>71</v>
      </c>
      <c r="C5" s="11" t="s">
        <v>74</v>
      </c>
    </row>
    <row r="6" spans="1:3" ht="30" x14ac:dyDescent="0.25">
      <c r="A6" s="13" t="s">
        <v>83</v>
      </c>
      <c r="B6" s="11" t="s">
        <v>86</v>
      </c>
      <c r="C6" s="11" t="s">
        <v>74</v>
      </c>
    </row>
    <row r="7" spans="1:3" ht="30" x14ac:dyDescent="0.25">
      <c r="A7" s="1" t="s">
        <v>12</v>
      </c>
      <c r="B7" s="11" t="s">
        <v>75</v>
      </c>
      <c r="C7" s="11" t="s">
        <v>74</v>
      </c>
    </row>
    <row r="8" spans="1:3" ht="30" x14ac:dyDescent="0.25">
      <c r="A8" s="1" t="s">
        <v>68</v>
      </c>
      <c r="B8" s="11" t="s">
        <v>84</v>
      </c>
      <c r="C8" s="11" t="s">
        <v>74</v>
      </c>
    </row>
    <row r="9" spans="1:3" ht="30" x14ac:dyDescent="0.25">
      <c r="A9" s="1" t="s">
        <v>66</v>
      </c>
      <c r="B9" s="11" t="s">
        <v>87</v>
      </c>
      <c r="C9" s="11" t="s">
        <v>74</v>
      </c>
    </row>
    <row r="10" spans="1:3" ht="30" x14ac:dyDescent="0.25">
      <c r="A10" s="1" t="s">
        <v>14</v>
      </c>
      <c r="B10" s="11" t="s">
        <v>77</v>
      </c>
      <c r="C10" s="11" t="s">
        <v>74</v>
      </c>
    </row>
    <row r="11" spans="1:3" ht="30" x14ac:dyDescent="0.25">
      <c r="A11" s="1" t="s">
        <v>69</v>
      </c>
      <c r="B11" s="11" t="s">
        <v>78</v>
      </c>
      <c r="C11" s="11" t="s">
        <v>74</v>
      </c>
    </row>
    <row r="12" spans="1:3" ht="30" x14ac:dyDescent="0.25">
      <c r="A12" s="1" t="s">
        <v>76</v>
      </c>
      <c r="B12" s="11" t="s">
        <v>85</v>
      </c>
      <c r="C12" s="11" t="s">
        <v>74</v>
      </c>
    </row>
    <row r="13" spans="1:3" ht="30" x14ac:dyDescent="0.25">
      <c r="A13" s="1" t="s">
        <v>64</v>
      </c>
      <c r="B13" s="11" t="s">
        <v>80</v>
      </c>
      <c r="C13" s="11" t="s">
        <v>74</v>
      </c>
    </row>
    <row r="14" spans="1:3" ht="30" x14ac:dyDescent="0.25">
      <c r="A14" s="1" t="s">
        <v>58</v>
      </c>
      <c r="B14" s="11" t="s">
        <v>81</v>
      </c>
      <c r="C14" s="11" t="s">
        <v>74</v>
      </c>
    </row>
    <row r="15" spans="1:3" ht="30" x14ac:dyDescent="0.25">
      <c r="A15" s="1" t="s">
        <v>13</v>
      </c>
      <c r="B15" s="11" t="s">
        <v>82</v>
      </c>
      <c r="C15" s="11" t="s">
        <v>74</v>
      </c>
    </row>
  </sheetData>
  <sortState xmlns:xlrd2="http://schemas.microsoft.com/office/spreadsheetml/2017/richdata2" ref="A3:B15">
    <sortCondition ref="A3:A15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73195-0A12-4B1F-A1AD-D809D863F442}">
  <sheetPr codeName="Sheet3"/>
  <dimension ref="A1:M28"/>
  <sheetViews>
    <sheetView workbookViewId="0">
      <selection activeCell="I3" sqref="I3"/>
    </sheetView>
  </sheetViews>
  <sheetFormatPr defaultRowHeight="15" x14ac:dyDescent="0.25"/>
  <cols>
    <col min="1" max="1" width="14.42578125" customWidth="1"/>
    <col min="2" max="2" width="13.7109375" customWidth="1"/>
    <col min="3" max="4" width="16.85546875" customWidth="1"/>
    <col min="5" max="5" width="25.85546875" customWidth="1"/>
    <col min="6" max="6" width="53.85546875" customWidth="1"/>
    <col min="8" max="8" width="12.5703125" customWidth="1"/>
    <col min="9" max="9" width="18.140625" customWidth="1"/>
    <col min="10" max="10" width="13.28515625" customWidth="1"/>
  </cols>
  <sheetData>
    <row r="1" spans="1:13" x14ac:dyDescent="0.25">
      <c r="A1" s="45" t="s">
        <v>211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3" x14ac:dyDescent="0.25">
      <c r="A2" s="3" t="s">
        <v>0</v>
      </c>
      <c r="B2" s="3" t="s">
        <v>1</v>
      </c>
      <c r="C2" s="3" t="s">
        <v>2</v>
      </c>
      <c r="D2" s="3" t="s">
        <v>8</v>
      </c>
      <c r="E2" s="32" t="s">
        <v>22</v>
      </c>
      <c r="F2" s="3" t="s">
        <v>3</v>
      </c>
      <c r="G2" s="32" t="s">
        <v>7</v>
      </c>
      <c r="H2" s="32" t="s">
        <v>23</v>
      </c>
      <c r="I2" s="3" t="s">
        <v>44</v>
      </c>
      <c r="J2" s="32" t="s">
        <v>142</v>
      </c>
      <c r="K2" s="32"/>
      <c r="M2">
        <f>CurrentPlayerLevel</f>
        <v>1</v>
      </c>
    </row>
    <row r="3" spans="1:13" ht="27.75" customHeight="1" x14ac:dyDescent="0.25">
      <c r="A3" s="2" t="s">
        <v>212</v>
      </c>
      <c r="B3" s="4">
        <f>C3</f>
        <v>15</v>
      </c>
      <c r="C3" s="4">
        <f>15+(10*(G3-1)*0.8)</f>
        <v>15</v>
      </c>
      <c r="D3" s="4">
        <v>7</v>
      </c>
      <c r="E3" s="31" t="s">
        <v>68</v>
      </c>
      <c r="F3" s="5" t="s">
        <v>4</v>
      </c>
      <c r="G3" s="9">
        <f>1*$M$2</f>
        <v>1</v>
      </c>
      <c r="H3" s="7" t="b">
        <v>0</v>
      </c>
      <c r="I3" s="2">
        <f>(G3/'Character Information sheet'!$C$2)*(100*'Monster Tables'!G3)*IF('Monster Tables'!H3,3,1)</f>
        <v>100</v>
      </c>
      <c r="J3" s="2"/>
      <c r="K3" s="2"/>
    </row>
    <row r="4" spans="1:13" ht="34.5" customHeight="1" x14ac:dyDescent="0.25">
      <c r="A4" s="2" t="s">
        <v>55</v>
      </c>
      <c r="B4" s="4">
        <f>C4</f>
        <v>44</v>
      </c>
      <c r="C4" s="4">
        <f>30+ROUND(15*(G4-1)*0.9,0)</f>
        <v>44</v>
      </c>
      <c r="D4" s="4">
        <v>11</v>
      </c>
      <c r="E4" s="31" t="s">
        <v>149</v>
      </c>
      <c r="F4" s="5" t="s">
        <v>5</v>
      </c>
      <c r="G4" s="7">
        <f>(1*$M$2)+1</f>
        <v>2</v>
      </c>
      <c r="H4" s="7" t="b">
        <v>1</v>
      </c>
      <c r="I4" s="2">
        <f>(G4/'Character Information sheet'!$C$2)*(100*'Monster Tables'!G4)*IF('Monster Tables'!H4,3,1)</f>
        <v>1200</v>
      </c>
      <c r="J4" s="2"/>
      <c r="K4" s="2"/>
    </row>
    <row r="5" spans="1:13" x14ac:dyDescent="0.25">
      <c r="A5" s="2"/>
      <c r="B5" s="4"/>
      <c r="C5" s="4"/>
      <c r="D5" s="4"/>
      <c r="E5" s="4"/>
      <c r="F5" s="5"/>
      <c r="G5" s="7"/>
      <c r="H5" s="7"/>
      <c r="I5" s="2"/>
      <c r="J5" s="2"/>
      <c r="K5" s="2"/>
    </row>
    <row r="6" spans="1:13" x14ac:dyDescent="0.25">
      <c r="A6" s="2"/>
      <c r="B6" s="4"/>
      <c r="C6" s="4"/>
      <c r="D6" s="4"/>
      <c r="E6" s="4"/>
      <c r="F6" s="5"/>
      <c r="G6" s="7"/>
      <c r="H6" s="7"/>
      <c r="I6" s="2"/>
      <c r="J6" s="2"/>
      <c r="K6" s="2"/>
    </row>
    <row r="7" spans="1:13" x14ac:dyDescent="0.25">
      <c r="A7" s="2"/>
      <c r="B7" s="4"/>
      <c r="C7" s="4"/>
      <c r="D7" s="4"/>
      <c r="E7" s="4"/>
      <c r="F7" s="5"/>
      <c r="G7" s="7"/>
      <c r="H7" s="7"/>
      <c r="I7" s="2"/>
      <c r="J7" s="2"/>
      <c r="K7" s="2"/>
    </row>
    <row r="8" spans="1:13" x14ac:dyDescent="0.25">
      <c r="A8" s="2"/>
      <c r="B8" s="4"/>
      <c r="C8" s="4"/>
      <c r="D8" s="4"/>
      <c r="E8" s="4"/>
      <c r="F8" s="5"/>
      <c r="G8" s="7"/>
      <c r="H8" s="7"/>
      <c r="I8" s="2"/>
      <c r="J8" s="2"/>
      <c r="K8" s="2"/>
    </row>
    <row r="9" spans="1:13" x14ac:dyDescent="0.25">
      <c r="A9" s="2"/>
      <c r="B9" s="4"/>
      <c r="C9" s="4"/>
      <c r="D9" s="4"/>
      <c r="E9" s="4"/>
      <c r="F9" s="5"/>
      <c r="G9" s="7"/>
      <c r="H9" s="7"/>
      <c r="I9" s="2"/>
      <c r="J9" s="2"/>
      <c r="K9" s="2"/>
    </row>
    <row r="10" spans="1:13" x14ac:dyDescent="0.25">
      <c r="A10" s="2"/>
      <c r="B10" s="4"/>
      <c r="C10" s="4"/>
      <c r="D10" s="4"/>
      <c r="E10" s="4"/>
      <c r="F10" s="5"/>
      <c r="G10" s="7"/>
      <c r="H10" s="7"/>
      <c r="I10" s="2"/>
      <c r="J10" s="2"/>
      <c r="K10" s="2"/>
    </row>
    <row r="11" spans="1:13" x14ac:dyDescent="0.25">
      <c r="A11" s="2"/>
      <c r="B11" s="4"/>
      <c r="C11" s="4"/>
      <c r="D11" s="4"/>
      <c r="E11" s="4"/>
      <c r="F11" s="5"/>
      <c r="G11" s="7"/>
      <c r="H11" s="7"/>
      <c r="I11" s="2"/>
      <c r="J11" s="2"/>
      <c r="K11" s="2"/>
    </row>
    <row r="12" spans="1:13" x14ac:dyDescent="0.25">
      <c r="A12" s="2"/>
      <c r="B12" s="4"/>
      <c r="C12" s="4"/>
      <c r="D12" s="4"/>
      <c r="E12" s="4"/>
      <c r="F12" s="5"/>
      <c r="G12" s="7"/>
      <c r="H12" s="7"/>
      <c r="I12" s="2"/>
      <c r="J12" s="2"/>
      <c r="K12" s="2"/>
    </row>
    <row r="13" spans="1:13" x14ac:dyDescent="0.25">
      <c r="A13" s="2"/>
      <c r="B13" s="4"/>
      <c r="C13" s="4"/>
      <c r="D13" s="4"/>
      <c r="E13" s="4"/>
      <c r="F13" s="5"/>
      <c r="G13" s="7"/>
      <c r="H13" s="7"/>
      <c r="I13" s="2"/>
      <c r="J13" s="2"/>
      <c r="K13" s="2"/>
    </row>
    <row r="14" spans="1:13" x14ac:dyDescent="0.25">
      <c r="A14" s="2"/>
      <c r="B14" s="4"/>
      <c r="C14" s="4"/>
      <c r="D14" s="4"/>
      <c r="E14" s="4"/>
      <c r="F14" s="5"/>
      <c r="G14" s="7"/>
      <c r="H14" s="7"/>
      <c r="I14" s="2"/>
      <c r="J14" s="2"/>
      <c r="K14" s="2"/>
    </row>
    <row r="15" spans="1:13" x14ac:dyDescent="0.25">
      <c r="A15" s="2"/>
      <c r="B15" s="4"/>
      <c r="C15" s="4"/>
      <c r="D15" s="4"/>
      <c r="E15" s="4"/>
      <c r="F15" s="5"/>
      <c r="G15" s="7"/>
      <c r="H15" s="7"/>
      <c r="I15" s="2"/>
      <c r="J15" s="2"/>
      <c r="K15" s="2"/>
    </row>
    <row r="16" spans="1:13" x14ac:dyDescent="0.25">
      <c r="A16" s="2"/>
      <c r="B16" s="4"/>
      <c r="C16" s="4"/>
      <c r="D16" s="4"/>
      <c r="E16" s="4"/>
      <c r="F16" s="5"/>
      <c r="G16" s="7"/>
      <c r="H16" s="7"/>
      <c r="I16" s="2"/>
      <c r="J16" s="2"/>
      <c r="K16" s="2"/>
    </row>
    <row r="17" spans="1:11" x14ac:dyDescent="0.25">
      <c r="A17" s="2"/>
      <c r="B17" s="4"/>
      <c r="C17" s="4"/>
      <c r="D17" s="4"/>
      <c r="E17" s="4"/>
      <c r="F17" s="5"/>
      <c r="G17" s="7"/>
      <c r="H17" s="7"/>
      <c r="I17" s="2"/>
      <c r="J17" s="2"/>
      <c r="K17" s="2"/>
    </row>
    <row r="18" spans="1:11" x14ac:dyDescent="0.25">
      <c r="A18" s="2"/>
      <c r="B18" s="4"/>
      <c r="C18" s="4"/>
      <c r="D18" s="4"/>
      <c r="E18" s="4"/>
      <c r="F18" s="5"/>
      <c r="G18" s="7"/>
      <c r="H18" s="7"/>
      <c r="I18" s="2"/>
      <c r="J18" s="2"/>
      <c r="K18" s="2"/>
    </row>
    <row r="19" spans="1:11" x14ac:dyDescent="0.25">
      <c r="A19" s="2"/>
      <c r="B19" s="4"/>
      <c r="C19" s="4"/>
      <c r="D19" s="4"/>
      <c r="E19" s="4"/>
      <c r="F19" s="5"/>
      <c r="G19" s="7"/>
      <c r="H19" s="7"/>
      <c r="I19" s="2"/>
      <c r="J19" s="2"/>
      <c r="K19" s="2"/>
    </row>
    <row r="20" spans="1:11" x14ac:dyDescent="0.25">
      <c r="A20" s="2"/>
      <c r="B20" s="4"/>
      <c r="C20" s="4"/>
      <c r="D20" s="4"/>
      <c r="E20" s="4"/>
      <c r="F20" s="5"/>
      <c r="G20" s="7"/>
      <c r="H20" s="7"/>
      <c r="I20" s="2"/>
      <c r="J20" s="2"/>
      <c r="K20" s="2"/>
    </row>
    <row r="21" spans="1:11" x14ac:dyDescent="0.25">
      <c r="A21" s="2"/>
      <c r="B21" s="4"/>
      <c r="C21" s="4"/>
      <c r="D21" s="4"/>
      <c r="E21" s="4"/>
      <c r="F21" s="5"/>
      <c r="G21" s="7"/>
      <c r="H21" s="7"/>
      <c r="I21" s="2"/>
      <c r="J21" s="2"/>
      <c r="K21" s="2"/>
    </row>
    <row r="22" spans="1:11" x14ac:dyDescent="0.25">
      <c r="A22" s="2"/>
      <c r="B22" s="4"/>
      <c r="C22" s="4"/>
      <c r="D22" s="4"/>
      <c r="E22" s="4"/>
      <c r="F22" s="5"/>
      <c r="G22" s="7"/>
      <c r="H22" s="7"/>
      <c r="I22" s="2"/>
      <c r="J22" s="2"/>
      <c r="K22" s="2"/>
    </row>
    <row r="23" spans="1:11" x14ac:dyDescent="0.25">
      <c r="A23" s="2"/>
      <c r="B23" s="4"/>
      <c r="C23" s="4"/>
      <c r="D23" s="4"/>
      <c r="E23" s="4"/>
      <c r="F23" s="5"/>
      <c r="G23" s="7"/>
      <c r="H23" s="7"/>
      <c r="I23" s="2"/>
      <c r="J23" s="2"/>
      <c r="K23" s="2"/>
    </row>
    <row r="24" spans="1:11" x14ac:dyDescent="0.25">
      <c r="A24" s="2"/>
      <c r="B24" s="4"/>
      <c r="C24" s="4"/>
      <c r="D24" s="4"/>
      <c r="E24" s="4"/>
      <c r="F24" s="5"/>
      <c r="G24" s="7"/>
      <c r="H24" s="7"/>
      <c r="I24" s="2"/>
      <c r="J24" s="2"/>
      <c r="K24" s="2"/>
    </row>
    <row r="25" spans="1:11" x14ac:dyDescent="0.25">
      <c r="A25" s="2"/>
      <c r="B25" s="4"/>
      <c r="C25" s="4"/>
      <c r="D25" s="4"/>
      <c r="E25" s="4"/>
      <c r="F25" s="5"/>
      <c r="G25" s="7"/>
      <c r="H25" s="7"/>
      <c r="I25" s="2"/>
      <c r="J25" s="2"/>
      <c r="K25" s="2"/>
    </row>
    <row r="26" spans="1:11" x14ac:dyDescent="0.25">
      <c r="A26" s="2"/>
      <c r="B26" s="4"/>
      <c r="C26" s="4"/>
      <c r="D26" s="4"/>
      <c r="E26" s="4"/>
      <c r="F26" s="5"/>
      <c r="G26" s="7"/>
      <c r="H26" s="7"/>
      <c r="I26" s="2"/>
      <c r="J26" s="2"/>
      <c r="K26" s="2"/>
    </row>
    <row r="27" spans="1:11" x14ac:dyDescent="0.25">
      <c r="A27" s="2"/>
      <c r="B27" s="4"/>
      <c r="C27" s="4"/>
      <c r="D27" s="4"/>
      <c r="E27" s="4"/>
      <c r="F27" s="5"/>
      <c r="G27" s="7"/>
      <c r="H27" s="7"/>
      <c r="I27" s="2"/>
      <c r="J27" s="2"/>
      <c r="K27" s="2"/>
    </row>
    <row r="28" spans="1:11" x14ac:dyDescent="0.25">
      <c r="A28" s="2" t="s">
        <v>150</v>
      </c>
      <c r="B28" s="4">
        <v>5000</v>
      </c>
      <c r="C28" s="4">
        <v>5000</v>
      </c>
      <c r="D28" s="4">
        <v>25</v>
      </c>
      <c r="E28" s="4"/>
      <c r="F28" s="5" t="s">
        <v>151</v>
      </c>
      <c r="G28" s="7">
        <v>25</v>
      </c>
      <c r="H28" s="7" t="b">
        <v>1</v>
      </c>
      <c r="I28" s="2">
        <v>0</v>
      </c>
      <c r="J28" s="2"/>
      <c r="K28" s="2"/>
    </row>
  </sheetData>
  <mergeCells count="1">
    <mergeCell ref="A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164B3-F8BE-4F76-B413-B437B659C79D}">
  <sheetPr codeName="Sheet12"/>
  <dimension ref="A1:L48"/>
  <sheetViews>
    <sheetView workbookViewId="0">
      <selection activeCell="G4" sqref="G4"/>
    </sheetView>
  </sheetViews>
  <sheetFormatPr defaultRowHeight="15" x14ac:dyDescent="0.25"/>
  <cols>
    <col min="1" max="1" width="19.85546875" customWidth="1"/>
    <col min="2" max="2" width="30" customWidth="1"/>
    <col min="3" max="3" width="19.42578125" customWidth="1"/>
    <col min="4" max="4" width="16.5703125" customWidth="1"/>
    <col min="5" max="5" width="17.7109375" customWidth="1"/>
    <col min="6" max="6" width="21.140625" customWidth="1"/>
    <col min="7" max="7" width="15.42578125" customWidth="1"/>
    <col min="8" max="8" width="19.85546875" customWidth="1"/>
    <col min="9" max="9" width="18.42578125" customWidth="1"/>
    <col min="10" max="10" width="16.42578125" customWidth="1"/>
    <col min="11" max="11" width="18.5703125" customWidth="1"/>
    <col min="12" max="12" width="18.140625" customWidth="1"/>
  </cols>
  <sheetData>
    <row r="1" spans="1:12" ht="15.75" x14ac:dyDescent="0.25">
      <c r="A1" s="46" t="s">
        <v>212</v>
      </c>
      <c r="B1" s="47"/>
      <c r="C1" s="47"/>
      <c r="D1" s="47"/>
      <c r="E1" s="47"/>
      <c r="F1" s="47"/>
      <c r="G1" s="47"/>
      <c r="H1" s="47"/>
      <c r="I1" s="47"/>
      <c r="J1" s="47"/>
      <c r="K1" s="48"/>
      <c r="L1">
        <f>CurrentPlayerLevel</f>
        <v>1</v>
      </c>
    </row>
    <row r="2" spans="1:12" ht="15.75" x14ac:dyDescent="0.25">
      <c r="A2" s="46" t="s">
        <v>143</v>
      </c>
      <c r="B2" s="47"/>
      <c r="C2" s="47"/>
      <c r="D2" s="47"/>
      <c r="E2" s="47"/>
      <c r="F2" s="47"/>
      <c r="G2" s="47"/>
      <c r="H2" s="47"/>
      <c r="I2" s="47"/>
      <c r="J2" s="47"/>
      <c r="K2" s="48"/>
    </row>
    <row r="3" spans="1:12" ht="15.75" x14ac:dyDescent="0.25">
      <c r="A3" s="8" t="s">
        <v>106</v>
      </c>
      <c r="B3" s="8" t="s">
        <v>99</v>
      </c>
      <c r="C3" s="8" t="s">
        <v>11</v>
      </c>
      <c r="D3" s="8" t="s">
        <v>7</v>
      </c>
      <c r="E3" s="8" t="s">
        <v>100</v>
      </c>
      <c r="F3" s="8" t="s">
        <v>101</v>
      </c>
      <c r="G3" s="8" t="s">
        <v>102</v>
      </c>
      <c r="H3" s="8" t="s">
        <v>104</v>
      </c>
      <c r="I3" s="8" t="s">
        <v>109</v>
      </c>
      <c r="J3" s="8" t="s">
        <v>145</v>
      </c>
      <c r="K3" s="8" t="s">
        <v>136</v>
      </c>
    </row>
    <row r="4" spans="1:12" x14ac:dyDescent="0.25">
      <c r="A4" s="1" t="s">
        <v>146</v>
      </c>
      <c r="B4" s="1" t="s">
        <v>208</v>
      </c>
      <c r="C4" s="1" t="s">
        <v>149</v>
      </c>
      <c r="D4" s="1">
        <f>1 *$L$1</f>
        <v>1</v>
      </c>
      <c r="E4" s="1">
        <f>ROUND(2 *($L$1*0.666),0)</f>
        <v>1</v>
      </c>
      <c r="F4" s="1">
        <v>3</v>
      </c>
      <c r="G4" s="1">
        <f>ROUNDUP(1*($L$1*0.3333),0)</f>
        <v>1</v>
      </c>
      <c r="H4" s="1" t="s">
        <v>125</v>
      </c>
      <c r="I4" s="1">
        <v>1</v>
      </c>
      <c r="J4" s="1" t="s">
        <v>21</v>
      </c>
      <c r="K4" s="1">
        <v>0</v>
      </c>
    </row>
    <row r="30" spans="1:11" ht="15.75" x14ac:dyDescent="0.25">
      <c r="A30" s="46" t="s">
        <v>144</v>
      </c>
      <c r="B30" s="47"/>
      <c r="C30" s="47"/>
      <c r="D30" s="47"/>
      <c r="E30" s="47"/>
      <c r="F30" s="47"/>
      <c r="G30" s="47"/>
      <c r="H30" s="47"/>
      <c r="I30" s="47"/>
      <c r="J30" s="47"/>
      <c r="K30" s="48"/>
    </row>
    <row r="31" spans="1:11" ht="15.75" x14ac:dyDescent="0.25">
      <c r="A31" s="8" t="s">
        <v>105</v>
      </c>
      <c r="B31" s="8" t="s">
        <v>92</v>
      </c>
      <c r="C31" s="8" t="s">
        <v>22</v>
      </c>
      <c r="D31" s="8" t="s">
        <v>7</v>
      </c>
      <c r="E31" s="8" t="s">
        <v>93</v>
      </c>
      <c r="F31" s="8" t="s">
        <v>96</v>
      </c>
      <c r="G31" s="8" t="s">
        <v>97</v>
      </c>
      <c r="H31" s="8" t="s">
        <v>98</v>
      </c>
      <c r="I31" s="8" t="s">
        <v>109</v>
      </c>
      <c r="J31" s="8" t="s">
        <v>145</v>
      </c>
      <c r="K31" s="8" t="s">
        <v>136</v>
      </c>
    </row>
    <row r="32" spans="1:11" x14ac:dyDescent="0.25">
      <c r="A32" s="1" t="s">
        <v>147</v>
      </c>
      <c r="B32" s="28">
        <v>0.3</v>
      </c>
      <c r="C32" s="1" t="s">
        <v>21</v>
      </c>
      <c r="D32" s="1">
        <v>1</v>
      </c>
      <c r="E32" s="1" t="s">
        <v>148</v>
      </c>
      <c r="F32" s="28">
        <v>0.3</v>
      </c>
      <c r="G32" s="1" t="s">
        <v>21</v>
      </c>
      <c r="H32" s="1">
        <v>0</v>
      </c>
      <c r="I32" s="1">
        <v>1</v>
      </c>
      <c r="J32" s="1" t="s">
        <v>21</v>
      </c>
      <c r="K32" s="1">
        <v>5</v>
      </c>
    </row>
    <row r="33" spans="1:11" x14ac:dyDescent="0.25">
      <c r="A33" s="1" t="s">
        <v>206</v>
      </c>
      <c r="B33" s="28">
        <v>0.3</v>
      </c>
      <c r="C33" s="1" t="s">
        <v>149</v>
      </c>
      <c r="D33" s="1">
        <v>1</v>
      </c>
      <c r="E33" s="1" t="s">
        <v>207</v>
      </c>
      <c r="F33" s="28">
        <v>0.3</v>
      </c>
      <c r="G33" s="1" t="s">
        <v>21</v>
      </c>
      <c r="H33" s="1">
        <v>0</v>
      </c>
      <c r="I33" s="1">
        <v>3</v>
      </c>
      <c r="J33" s="1" t="s">
        <v>21</v>
      </c>
      <c r="K33" s="1">
        <v>5</v>
      </c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</sheetData>
  <mergeCells count="3">
    <mergeCell ref="A2:K2"/>
    <mergeCell ref="A1:K1"/>
    <mergeCell ref="A30:K3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24408-7C34-4D27-91AA-E8FD5325A36B}">
  <sheetPr codeName="Sheet6"/>
  <dimension ref="A1:E25"/>
  <sheetViews>
    <sheetView workbookViewId="0">
      <selection activeCell="C27" sqref="C27"/>
    </sheetView>
  </sheetViews>
  <sheetFormatPr defaultRowHeight="15" x14ac:dyDescent="0.25"/>
  <cols>
    <col min="1" max="1" width="8" bestFit="1" customWidth="1"/>
    <col min="2" max="2" width="19.28515625" bestFit="1" customWidth="1"/>
    <col min="3" max="3" width="19.140625" bestFit="1" customWidth="1"/>
  </cols>
  <sheetData>
    <row r="1" spans="1:3" x14ac:dyDescent="0.25">
      <c r="A1" t="s">
        <v>7</v>
      </c>
      <c r="B1" t="s">
        <v>49</v>
      </c>
      <c r="C1" t="s">
        <v>50</v>
      </c>
    </row>
    <row r="2" spans="1:3" x14ac:dyDescent="0.25">
      <c r="A2">
        <v>1</v>
      </c>
      <c r="B2">
        <v>0</v>
      </c>
      <c r="C2">
        <v>2</v>
      </c>
    </row>
    <row r="3" spans="1:3" x14ac:dyDescent="0.25">
      <c r="A3">
        <v>2</v>
      </c>
      <c r="B3">
        <v>300</v>
      </c>
      <c r="C3">
        <v>2</v>
      </c>
    </row>
    <row r="4" spans="1:3" x14ac:dyDescent="0.25">
      <c r="A4">
        <v>3</v>
      </c>
      <c r="B4">
        <v>900</v>
      </c>
      <c r="C4">
        <v>2</v>
      </c>
    </row>
    <row r="5" spans="1:3" x14ac:dyDescent="0.25">
      <c r="A5">
        <v>4</v>
      </c>
      <c r="B5">
        <v>2700</v>
      </c>
      <c r="C5">
        <v>2</v>
      </c>
    </row>
    <row r="6" spans="1:3" x14ac:dyDescent="0.25">
      <c r="A6">
        <v>5</v>
      </c>
      <c r="B6">
        <v>6500</v>
      </c>
      <c r="C6">
        <v>3</v>
      </c>
    </row>
    <row r="7" spans="1:3" x14ac:dyDescent="0.25">
      <c r="A7">
        <v>6</v>
      </c>
      <c r="B7">
        <v>14000</v>
      </c>
      <c r="C7">
        <v>3</v>
      </c>
    </row>
    <row r="8" spans="1:3" x14ac:dyDescent="0.25">
      <c r="A8">
        <v>7</v>
      </c>
      <c r="B8">
        <v>23000</v>
      </c>
      <c r="C8">
        <v>3</v>
      </c>
    </row>
    <row r="9" spans="1:3" x14ac:dyDescent="0.25">
      <c r="A9">
        <v>8</v>
      </c>
      <c r="B9">
        <v>34000</v>
      </c>
      <c r="C9">
        <v>3</v>
      </c>
    </row>
    <row r="10" spans="1:3" x14ac:dyDescent="0.25">
      <c r="A10">
        <v>9</v>
      </c>
      <c r="B10">
        <v>48000</v>
      </c>
      <c r="C10">
        <v>4</v>
      </c>
    </row>
    <row r="11" spans="1:3" x14ac:dyDescent="0.25">
      <c r="A11">
        <v>10</v>
      </c>
      <c r="B11">
        <v>64000</v>
      </c>
      <c r="C11">
        <v>4</v>
      </c>
    </row>
    <row r="12" spans="1:3" x14ac:dyDescent="0.25">
      <c r="A12">
        <v>11</v>
      </c>
      <c r="B12">
        <v>85000</v>
      </c>
      <c r="C12">
        <v>4</v>
      </c>
    </row>
    <row r="13" spans="1:3" x14ac:dyDescent="0.25">
      <c r="A13">
        <v>12</v>
      </c>
      <c r="B13">
        <v>100000</v>
      </c>
      <c r="C13">
        <v>4</v>
      </c>
    </row>
    <row r="14" spans="1:3" x14ac:dyDescent="0.25">
      <c r="A14">
        <v>13</v>
      </c>
      <c r="B14">
        <v>120000</v>
      </c>
      <c r="C14">
        <v>5</v>
      </c>
    </row>
    <row r="15" spans="1:3" x14ac:dyDescent="0.25">
      <c r="A15">
        <v>14</v>
      </c>
      <c r="B15">
        <v>140000</v>
      </c>
      <c r="C15">
        <v>5</v>
      </c>
    </row>
    <row r="16" spans="1:3" x14ac:dyDescent="0.25">
      <c r="A16">
        <v>15</v>
      </c>
      <c r="B16">
        <v>165000</v>
      </c>
      <c r="C16">
        <v>5</v>
      </c>
    </row>
    <row r="17" spans="1:5" x14ac:dyDescent="0.25">
      <c r="A17">
        <v>16</v>
      </c>
      <c r="B17">
        <v>195000</v>
      </c>
      <c r="C17">
        <v>5</v>
      </c>
    </row>
    <row r="18" spans="1:5" x14ac:dyDescent="0.25">
      <c r="A18">
        <v>17</v>
      </c>
      <c r="B18">
        <v>225000</v>
      </c>
      <c r="C18">
        <v>6</v>
      </c>
    </row>
    <row r="19" spans="1:5" x14ac:dyDescent="0.25">
      <c r="A19">
        <v>18</v>
      </c>
      <c r="B19">
        <v>265000</v>
      </c>
      <c r="C19">
        <v>6</v>
      </c>
    </row>
    <row r="20" spans="1:5" x14ac:dyDescent="0.25">
      <c r="A20">
        <v>19</v>
      </c>
      <c r="B20">
        <v>305000</v>
      </c>
      <c r="C20">
        <v>6</v>
      </c>
    </row>
    <row r="21" spans="1:5" x14ac:dyDescent="0.25">
      <c r="A21">
        <v>20</v>
      </c>
      <c r="B21">
        <v>355000</v>
      </c>
      <c r="C21">
        <v>6</v>
      </c>
    </row>
    <row r="25" spans="1:5" x14ac:dyDescent="0.25">
      <c r="E25" t="s">
        <v>91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9874-0A4E-4104-B48A-E3AC8CC38C1B}">
  <sheetPr codeName="Sheet7"/>
  <dimension ref="B1:C2"/>
  <sheetViews>
    <sheetView workbookViewId="0">
      <selection activeCell="C2" sqref="C2"/>
    </sheetView>
  </sheetViews>
  <sheetFormatPr defaultRowHeight="15" x14ac:dyDescent="0.25"/>
  <cols>
    <col min="2" max="2" width="18.42578125" customWidth="1"/>
    <col min="3" max="3" width="19.7109375" customWidth="1"/>
  </cols>
  <sheetData>
    <row r="1" spans="2:3" x14ac:dyDescent="0.25">
      <c r="B1" t="s">
        <v>47</v>
      </c>
      <c r="C1" t="s">
        <v>48</v>
      </c>
    </row>
    <row r="2" spans="2:3" x14ac:dyDescent="0.25">
      <c r="C2">
        <f>'Character Information sheet'!C2*2</f>
        <v>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D90BE-5789-4FCB-AC08-BDA56CE040A0}">
  <sheetPr codeName="Sheet10"/>
  <dimension ref="A1:F102"/>
  <sheetViews>
    <sheetView workbookViewId="0">
      <selection activeCell="E17" sqref="E17"/>
    </sheetView>
  </sheetViews>
  <sheetFormatPr defaultRowHeight="15" x14ac:dyDescent="0.25"/>
  <cols>
    <col min="1" max="1" width="29" customWidth="1"/>
    <col min="2" max="2" width="11.85546875" customWidth="1"/>
    <col min="3" max="3" width="60.5703125" customWidth="1"/>
    <col min="4" max="4" width="18" customWidth="1"/>
    <col min="5" max="6" width="15.28515625" customWidth="1"/>
    <col min="8" max="8" width="21.7109375" customWidth="1"/>
    <col min="10" max="10" width="9.140625" customWidth="1"/>
    <col min="12" max="12" width="9.140625" customWidth="1"/>
  </cols>
  <sheetData>
    <row r="1" spans="1:6" x14ac:dyDescent="0.25">
      <c r="A1" s="40" t="s">
        <v>175</v>
      </c>
      <c r="B1" s="41"/>
      <c r="C1" s="41"/>
      <c r="D1" s="41"/>
      <c r="E1" s="41"/>
      <c r="F1" s="42"/>
    </row>
    <row r="2" spans="1:6" x14ac:dyDescent="0.25">
      <c r="A2" s="25" t="s">
        <v>0</v>
      </c>
      <c r="B2" s="25" t="s">
        <v>153</v>
      </c>
      <c r="C2" s="25" t="s">
        <v>3</v>
      </c>
      <c r="D2" s="25" t="s">
        <v>162</v>
      </c>
      <c r="E2" s="25" t="s">
        <v>158</v>
      </c>
      <c r="F2" s="25" t="s">
        <v>163</v>
      </c>
    </row>
    <row r="3" spans="1:6" x14ac:dyDescent="0.25">
      <c r="A3" s="11" t="s">
        <v>168</v>
      </c>
      <c r="B3" s="1">
        <v>2</v>
      </c>
      <c r="C3" s="11" t="s">
        <v>161</v>
      </c>
      <c r="D3" s="1" t="s">
        <v>160</v>
      </c>
      <c r="E3" s="1" t="s">
        <v>167</v>
      </c>
      <c r="F3" s="1">
        <v>5</v>
      </c>
    </row>
    <row r="4" spans="1:6" x14ac:dyDescent="0.25">
      <c r="A4" t="s">
        <v>176</v>
      </c>
      <c r="B4" s="1">
        <v>0</v>
      </c>
      <c r="C4" t="s">
        <v>177</v>
      </c>
      <c r="D4" s="1" t="s">
        <v>160</v>
      </c>
      <c r="E4" s="1" t="s">
        <v>167</v>
      </c>
      <c r="F4" s="1">
        <v>10</v>
      </c>
    </row>
    <row r="5" spans="1:6" x14ac:dyDescent="0.25">
      <c r="A5" t="s">
        <v>178</v>
      </c>
      <c r="B5" s="1">
        <v>0</v>
      </c>
      <c r="C5" t="s">
        <v>179</v>
      </c>
      <c r="D5" s="1" t="s">
        <v>160</v>
      </c>
      <c r="E5" s="1" t="s">
        <v>167</v>
      </c>
      <c r="F5" s="1">
        <v>20</v>
      </c>
    </row>
    <row r="6" spans="1:6" x14ac:dyDescent="0.25">
      <c r="A6" t="s">
        <v>180</v>
      </c>
      <c r="B6" s="1">
        <v>0</v>
      </c>
      <c r="C6" t="s">
        <v>181</v>
      </c>
      <c r="D6" s="1" t="s">
        <v>160</v>
      </c>
      <c r="E6" s="1" t="s">
        <v>167</v>
      </c>
      <c r="F6" s="1">
        <v>40</v>
      </c>
    </row>
    <row r="7" spans="1:6" x14ac:dyDescent="0.25">
      <c r="A7" s="11" t="s">
        <v>182</v>
      </c>
      <c r="B7" s="1">
        <v>0</v>
      </c>
      <c r="C7" s="11" t="s">
        <v>187</v>
      </c>
      <c r="D7" s="1" t="s">
        <v>160</v>
      </c>
      <c r="E7" s="1" t="s">
        <v>167</v>
      </c>
      <c r="F7" s="28">
        <v>1</v>
      </c>
    </row>
    <row r="8" spans="1:6" x14ac:dyDescent="0.25">
      <c r="A8" t="s">
        <v>169</v>
      </c>
      <c r="B8" s="1">
        <v>2</v>
      </c>
      <c r="C8" t="s">
        <v>170</v>
      </c>
      <c r="D8" s="1" t="s">
        <v>160</v>
      </c>
      <c r="E8" s="1" t="s">
        <v>171</v>
      </c>
      <c r="F8" s="1">
        <v>15</v>
      </c>
    </row>
    <row r="9" spans="1:6" x14ac:dyDescent="0.25">
      <c r="A9" s="11" t="s">
        <v>183</v>
      </c>
      <c r="B9" s="1">
        <v>0</v>
      </c>
      <c r="C9" s="11" t="s">
        <v>184</v>
      </c>
      <c r="D9" s="1" t="s">
        <v>160</v>
      </c>
      <c r="E9" s="1" t="s">
        <v>171</v>
      </c>
      <c r="F9" s="1">
        <v>60</v>
      </c>
    </row>
    <row r="10" spans="1:6" x14ac:dyDescent="0.25">
      <c r="A10" s="11" t="s">
        <v>185</v>
      </c>
      <c r="B10" s="1">
        <v>0</v>
      </c>
      <c r="C10" s="11" t="s">
        <v>186</v>
      </c>
      <c r="D10" s="1" t="s">
        <v>160</v>
      </c>
      <c r="E10" s="1" t="s">
        <v>171</v>
      </c>
      <c r="F10" s="1">
        <v>120</v>
      </c>
    </row>
    <row r="11" spans="1:6" x14ac:dyDescent="0.25">
      <c r="A11" s="11" t="s">
        <v>190</v>
      </c>
      <c r="B11" s="1">
        <v>0</v>
      </c>
      <c r="C11" s="11" t="s">
        <v>188</v>
      </c>
      <c r="D11" s="1" t="s">
        <v>160</v>
      </c>
      <c r="E11" s="1" t="s">
        <v>171</v>
      </c>
      <c r="F11" s="1">
        <v>240</v>
      </c>
    </row>
    <row r="12" spans="1:6" x14ac:dyDescent="0.25">
      <c r="A12" s="11" t="s">
        <v>189</v>
      </c>
      <c r="B12" s="1">
        <v>0</v>
      </c>
      <c r="C12" s="11" t="s">
        <v>191</v>
      </c>
      <c r="D12" s="1" t="s">
        <v>160</v>
      </c>
      <c r="E12" s="1" t="s">
        <v>171</v>
      </c>
      <c r="F12" s="28">
        <v>1</v>
      </c>
    </row>
    <row r="13" spans="1:6" x14ac:dyDescent="0.25">
      <c r="A13" s="11"/>
      <c r="C13" s="11"/>
    </row>
    <row r="14" spans="1:6" x14ac:dyDescent="0.25">
      <c r="A14" s="11"/>
      <c r="C14" s="11"/>
    </row>
    <row r="15" spans="1:6" x14ac:dyDescent="0.25">
      <c r="A15" s="11"/>
      <c r="C15" s="11"/>
    </row>
    <row r="16" spans="1:6" x14ac:dyDescent="0.25">
      <c r="A16" s="11"/>
      <c r="C16" s="11"/>
    </row>
    <row r="17" spans="1:6" x14ac:dyDescent="0.25">
      <c r="A17" s="11"/>
      <c r="C17" s="11"/>
    </row>
    <row r="18" spans="1:6" x14ac:dyDescent="0.25">
      <c r="A18" s="11"/>
      <c r="C18" s="11"/>
    </row>
    <row r="19" spans="1:6" x14ac:dyDescent="0.25">
      <c r="A19" s="11"/>
      <c r="C19" s="11"/>
    </row>
    <row r="20" spans="1:6" x14ac:dyDescent="0.25">
      <c r="A20" s="11"/>
      <c r="C20" s="11"/>
    </row>
    <row r="21" spans="1:6" x14ac:dyDescent="0.25">
      <c r="A21" s="43" t="s">
        <v>195</v>
      </c>
      <c r="B21" s="43"/>
      <c r="C21" s="43"/>
      <c r="D21" s="43"/>
      <c r="E21" s="43"/>
      <c r="F21" s="43"/>
    </row>
    <row r="22" spans="1:6" x14ac:dyDescent="0.25">
      <c r="A22" s="26" t="s">
        <v>0</v>
      </c>
      <c r="B22" s="27" t="s">
        <v>162</v>
      </c>
      <c r="C22" s="26" t="s">
        <v>3</v>
      </c>
      <c r="D22" s="27" t="s">
        <v>157</v>
      </c>
      <c r="E22" s="27" t="s">
        <v>158</v>
      </c>
      <c r="F22" s="27" t="s">
        <v>194</v>
      </c>
    </row>
    <row r="23" spans="1:6" x14ac:dyDescent="0.25">
      <c r="A23" s="11" t="s">
        <v>164</v>
      </c>
      <c r="B23" t="s">
        <v>192</v>
      </c>
      <c r="C23" s="11" t="s">
        <v>173</v>
      </c>
      <c r="D23" t="b">
        <v>1</v>
      </c>
      <c r="E23" t="s">
        <v>166</v>
      </c>
      <c r="F23">
        <v>0</v>
      </c>
    </row>
    <row r="24" spans="1:6" x14ac:dyDescent="0.25">
      <c r="A24" s="11" t="s">
        <v>165</v>
      </c>
      <c r="B24" t="s">
        <v>193</v>
      </c>
      <c r="C24" s="11" t="s">
        <v>174</v>
      </c>
      <c r="D24" t="b">
        <v>1</v>
      </c>
      <c r="E24" t="s">
        <v>196</v>
      </c>
      <c r="F24">
        <v>2</v>
      </c>
    </row>
    <row r="25" spans="1:6" x14ac:dyDescent="0.25">
      <c r="A25" s="11"/>
      <c r="C25" s="11"/>
    </row>
    <row r="26" spans="1:6" x14ac:dyDescent="0.25">
      <c r="A26" s="11"/>
      <c r="C26" s="11"/>
    </row>
    <row r="27" spans="1:6" x14ac:dyDescent="0.25">
      <c r="A27" s="11"/>
      <c r="C27" s="11"/>
    </row>
    <row r="28" spans="1:6" x14ac:dyDescent="0.25">
      <c r="A28" s="11"/>
      <c r="C28" s="11"/>
    </row>
    <row r="29" spans="1:6" x14ac:dyDescent="0.25">
      <c r="A29" s="11"/>
      <c r="C29" s="11"/>
    </row>
    <row r="30" spans="1:6" x14ac:dyDescent="0.25">
      <c r="A30" s="11"/>
      <c r="C30" s="11"/>
    </row>
    <row r="31" spans="1:6" x14ac:dyDescent="0.25">
      <c r="A31" s="11"/>
      <c r="C31" s="11"/>
    </row>
    <row r="32" spans="1:6" x14ac:dyDescent="0.25">
      <c r="A32" s="11"/>
      <c r="C32" s="11"/>
    </row>
    <row r="33" spans="1:3" x14ac:dyDescent="0.25">
      <c r="A33" s="11"/>
      <c r="C33" s="11"/>
    </row>
    <row r="34" spans="1:3" x14ac:dyDescent="0.25">
      <c r="A34" s="11"/>
      <c r="C34" s="11"/>
    </row>
    <row r="35" spans="1:3" x14ac:dyDescent="0.25">
      <c r="A35" s="11"/>
      <c r="C35" s="11"/>
    </row>
    <row r="36" spans="1:3" x14ac:dyDescent="0.25">
      <c r="A36" s="11"/>
      <c r="C36" s="11"/>
    </row>
    <row r="37" spans="1:3" x14ac:dyDescent="0.25">
      <c r="A37" s="11"/>
      <c r="C37" s="11"/>
    </row>
    <row r="38" spans="1:3" x14ac:dyDescent="0.25">
      <c r="A38" s="11"/>
      <c r="C38" s="11"/>
    </row>
    <row r="39" spans="1:3" x14ac:dyDescent="0.25">
      <c r="A39" s="11"/>
      <c r="C39" s="11"/>
    </row>
    <row r="40" spans="1:3" x14ac:dyDescent="0.25">
      <c r="A40" s="11"/>
      <c r="C40" s="11"/>
    </row>
    <row r="41" spans="1:3" x14ac:dyDescent="0.25">
      <c r="A41" s="11"/>
      <c r="C41" s="11"/>
    </row>
    <row r="42" spans="1:3" x14ac:dyDescent="0.25">
      <c r="A42" s="11"/>
      <c r="C42" s="11"/>
    </row>
    <row r="43" spans="1:3" x14ac:dyDescent="0.25">
      <c r="A43" s="11"/>
      <c r="C43" s="11"/>
    </row>
    <row r="44" spans="1:3" x14ac:dyDescent="0.25">
      <c r="A44" s="11"/>
      <c r="C44" s="11"/>
    </row>
    <row r="45" spans="1:3" x14ac:dyDescent="0.25">
      <c r="A45" s="11"/>
      <c r="C45" s="11"/>
    </row>
    <row r="46" spans="1:3" x14ac:dyDescent="0.25">
      <c r="A46" s="11"/>
      <c r="C46" s="11"/>
    </row>
    <row r="47" spans="1:3" x14ac:dyDescent="0.25">
      <c r="A47" s="11"/>
      <c r="C47" s="11"/>
    </row>
    <row r="48" spans="1:3" x14ac:dyDescent="0.25">
      <c r="A48" s="11"/>
      <c r="C48" s="11"/>
    </row>
    <row r="49" spans="1:3" x14ac:dyDescent="0.25">
      <c r="A49" s="11"/>
      <c r="C49" s="11"/>
    </row>
    <row r="50" spans="1:3" x14ac:dyDescent="0.25">
      <c r="A50" s="11"/>
      <c r="C50" s="11"/>
    </row>
    <row r="51" spans="1:3" x14ac:dyDescent="0.25">
      <c r="A51" s="11"/>
      <c r="C51" s="11"/>
    </row>
    <row r="52" spans="1:3" x14ac:dyDescent="0.25">
      <c r="A52" s="11"/>
      <c r="C52" s="11"/>
    </row>
    <row r="53" spans="1:3" x14ac:dyDescent="0.25">
      <c r="A53" s="11"/>
      <c r="C53" s="11"/>
    </row>
    <row r="54" spans="1:3" x14ac:dyDescent="0.25">
      <c r="A54" s="11"/>
      <c r="C54" s="11"/>
    </row>
    <row r="55" spans="1:3" x14ac:dyDescent="0.25">
      <c r="A55" s="11"/>
      <c r="C55" s="11"/>
    </row>
    <row r="56" spans="1:3" x14ac:dyDescent="0.25">
      <c r="A56" s="11"/>
      <c r="C56" s="11"/>
    </row>
    <row r="57" spans="1:3" x14ac:dyDescent="0.25">
      <c r="A57" s="11"/>
      <c r="C57" s="11"/>
    </row>
    <row r="58" spans="1:3" x14ac:dyDescent="0.25">
      <c r="A58" s="11"/>
      <c r="C58" s="11"/>
    </row>
    <row r="59" spans="1:3" x14ac:dyDescent="0.25">
      <c r="A59" s="11"/>
      <c r="C59" s="11"/>
    </row>
    <row r="60" spans="1:3" x14ac:dyDescent="0.25">
      <c r="A60" s="11"/>
      <c r="C60" s="11"/>
    </row>
    <row r="61" spans="1:3" x14ac:dyDescent="0.25">
      <c r="A61" s="11"/>
      <c r="C61" s="11"/>
    </row>
    <row r="62" spans="1:3" x14ac:dyDescent="0.25">
      <c r="A62" s="11"/>
      <c r="C62" s="11"/>
    </row>
    <row r="63" spans="1:3" x14ac:dyDescent="0.25">
      <c r="A63" s="11"/>
      <c r="C63" s="11"/>
    </row>
    <row r="64" spans="1:3" x14ac:dyDescent="0.25">
      <c r="A64" s="11"/>
      <c r="C64" s="11"/>
    </row>
    <row r="65" spans="1:3" x14ac:dyDescent="0.25">
      <c r="A65" s="11"/>
      <c r="C65" s="11"/>
    </row>
    <row r="66" spans="1:3" x14ac:dyDescent="0.25">
      <c r="A66" s="11"/>
      <c r="C66" s="11"/>
    </row>
    <row r="67" spans="1:3" x14ac:dyDescent="0.25">
      <c r="A67" s="11"/>
      <c r="C67" s="11"/>
    </row>
    <row r="68" spans="1:3" x14ac:dyDescent="0.25">
      <c r="A68" s="11"/>
      <c r="C68" s="11"/>
    </row>
    <row r="69" spans="1:3" x14ac:dyDescent="0.25">
      <c r="A69" s="11"/>
      <c r="C69" s="11"/>
    </row>
    <row r="70" spans="1:3" x14ac:dyDescent="0.25">
      <c r="A70" s="11"/>
      <c r="C70" s="11"/>
    </row>
    <row r="71" spans="1:3" x14ac:dyDescent="0.25">
      <c r="A71" s="11"/>
      <c r="C71" s="11"/>
    </row>
    <row r="72" spans="1:3" x14ac:dyDescent="0.25">
      <c r="A72" s="11"/>
      <c r="C72" s="11"/>
    </row>
    <row r="73" spans="1:3" x14ac:dyDescent="0.25">
      <c r="A73" s="11"/>
      <c r="C73" s="11"/>
    </row>
    <row r="74" spans="1:3" x14ac:dyDescent="0.25">
      <c r="A74" s="11"/>
      <c r="C74" s="11"/>
    </row>
    <row r="75" spans="1:3" x14ac:dyDescent="0.25">
      <c r="A75" s="11"/>
      <c r="C75" s="11"/>
    </row>
    <row r="76" spans="1:3" x14ac:dyDescent="0.25">
      <c r="A76" s="11"/>
      <c r="C76" s="11"/>
    </row>
    <row r="77" spans="1:3" x14ac:dyDescent="0.25">
      <c r="A77" s="11"/>
      <c r="C77" s="11"/>
    </row>
    <row r="78" spans="1:3" x14ac:dyDescent="0.25">
      <c r="A78" s="11"/>
      <c r="C78" s="11"/>
    </row>
    <row r="79" spans="1:3" x14ac:dyDescent="0.25">
      <c r="A79" s="11"/>
      <c r="C79" s="11"/>
    </row>
    <row r="80" spans="1:3" x14ac:dyDescent="0.25">
      <c r="A80" s="11"/>
      <c r="C80" s="11"/>
    </row>
    <row r="81" spans="1:3" x14ac:dyDescent="0.25">
      <c r="A81" s="11"/>
      <c r="C81" s="11"/>
    </row>
    <row r="82" spans="1:3" x14ac:dyDescent="0.25">
      <c r="A82" s="11"/>
      <c r="C82" s="11"/>
    </row>
    <row r="83" spans="1:3" x14ac:dyDescent="0.25">
      <c r="A83" s="11"/>
      <c r="C83" s="11"/>
    </row>
    <row r="84" spans="1:3" x14ac:dyDescent="0.25">
      <c r="A84" s="11"/>
      <c r="C84" s="11"/>
    </row>
    <row r="85" spans="1:3" x14ac:dyDescent="0.25">
      <c r="A85" s="11"/>
      <c r="C85" s="11"/>
    </row>
    <row r="86" spans="1:3" x14ac:dyDescent="0.25">
      <c r="A86" s="11"/>
      <c r="C86" s="11"/>
    </row>
    <row r="87" spans="1:3" x14ac:dyDescent="0.25">
      <c r="A87" s="11"/>
      <c r="C87" s="11"/>
    </row>
    <row r="88" spans="1:3" x14ac:dyDescent="0.25">
      <c r="A88" s="11"/>
      <c r="C88" s="11"/>
    </row>
    <row r="89" spans="1:3" x14ac:dyDescent="0.25">
      <c r="A89" s="11"/>
      <c r="C89" s="11"/>
    </row>
    <row r="90" spans="1:3" x14ac:dyDescent="0.25">
      <c r="A90" s="11"/>
      <c r="C90" s="11"/>
    </row>
    <row r="91" spans="1:3" x14ac:dyDescent="0.25">
      <c r="A91" s="11"/>
      <c r="C91" s="11"/>
    </row>
    <row r="92" spans="1:3" x14ac:dyDescent="0.25">
      <c r="A92" s="11"/>
      <c r="C92" s="11"/>
    </row>
    <row r="93" spans="1:3" x14ac:dyDescent="0.25">
      <c r="A93" s="11"/>
      <c r="C93" s="11"/>
    </row>
    <row r="94" spans="1:3" x14ac:dyDescent="0.25">
      <c r="A94" s="11"/>
      <c r="C94" s="11"/>
    </row>
    <row r="95" spans="1:3" x14ac:dyDescent="0.25">
      <c r="A95" s="11"/>
      <c r="C95" s="11"/>
    </row>
    <row r="96" spans="1:3" x14ac:dyDescent="0.25">
      <c r="A96" s="11"/>
      <c r="C96" s="11"/>
    </row>
    <row r="97" spans="1:3" x14ac:dyDescent="0.25">
      <c r="A97" s="11"/>
      <c r="C97" s="11"/>
    </row>
    <row r="98" spans="1:3" x14ac:dyDescent="0.25">
      <c r="A98" s="11"/>
      <c r="C98" s="11"/>
    </row>
    <row r="99" spans="1:3" x14ac:dyDescent="0.25">
      <c r="A99" s="11"/>
      <c r="C99" s="11"/>
    </row>
    <row r="100" spans="1:3" x14ac:dyDescent="0.25">
      <c r="A100" s="11"/>
      <c r="C100" s="11"/>
    </row>
    <row r="101" spans="1:3" x14ac:dyDescent="0.25">
      <c r="A101" s="11"/>
      <c r="C101" s="11"/>
    </row>
    <row r="102" spans="1:3" x14ac:dyDescent="0.25">
      <c r="A102" s="11"/>
      <c r="C102" s="11"/>
    </row>
  </sheetData>
  <mergeCells count="2">
    <mergeCell ref="A1:F1"/>
    <mergeCell ref="A21:F2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9977-528C-4EF4-8A12-D2973CB746B3}">
  <sheetPr codeName="Sheet11"/>
  <dimension ref="A1:F12"/>
  <sheetViews>
    <sheetView workbookViewId="0">
      <selection activeCell="F37" sqref="F37"/>
    </sheetView>
  </sheetViews>
  <sheetFormatPr defaultRowHeight="15" x14ac:dyDescent="0.25"/>
  <cols>
    <col min="1" max="1" width="25" customWidth="1"/>
    <col min="2" max="2" width="15.5703125" customWidth="1"/>
    <col min="3" max="3" width="61.28515625" customWidth="1"/>
    <col min="4" max="4" width="16.42578125" customWidth="1"/>
    <col min="5" max="5" width="15.28515625" customWidth="1"/>
    <col min="6" max="6" width="14.28515625" customWidth="1"/>
  </cols>
  <sheetData>
    <row r="1" spans="1:6" x14ac:dyDescent="0.25">
      <c r="A1" s="40" t="s">
        <v>175</v>
      </c>
      <c r="B1" s="41"/>
      <c r="C1" s="41"/>
      <c r="D1" s="41"/>
      <c r="E1" s="41"/>
      <c r="F1" s="42"/>
    </row>
    <row r="2" spans="1:6" x14ac:dyDescent="0.25">
      <c r="A2" s="25" t="s">
        <v>0</v>
      </c>
      <c r="B2" s="25" t="s">
        <v>153</v>
      </c>
      <c r="C2" s="25" t="s">
        <v>3</v>
      </c>
      <c r="D2" s="25" t="s">
        <v>162</v>
      </c>
      <c r="E2" s="25" t="s">
        <v>158</v>
      </c>
      <c r="F2" s="25" t="s">
        <v>163</v>
      </c>
    </row>
    <row r="3" spans="1:6" x14ac:dyDescent="0.25">
      <c r="A3" s="11" t="s">
        <v>168</v>
      </c>
      <c r="B3">
        <v>2</v>
      </c>
      <c r="C3" s="11" t="s">
        <v>161</v>
      </c>
      <c r="D3" t="s">
        <v>160</v>
      </c>
      <c r="E3" t="s">
        <v>167</v>
      </c>
      <c r="F3">
        <v>5</v>
      </c>
    </row>
    <row r="4" spans="1:6" x14ac:dyDescent="0.25">
      <c r="A4" t="s">
        <v>176</v>
      </c>
      <c r="B4">
        <v>0</v>
      </c>
      <c r="C4" t="s">
        <v>177</v>
      </c>
      <c r="D4" t="s">
        <v>160</v>
      </c>
      <c r="E4" t="s">
        <v>167</v>
      </c>
      <c r="F4">
        <v>10</v>
      </c>
    </row>
    <row r="5" spans="1:6" x14ac:dyDescent="0.25">
      <c r="A5" t="s">
        <v>178</v>
      </c>
      <c r="B5">
        <v>0</v>
      </c>
      <c r="C5" t="s">
        <v>179</v>
      </c>
      <c r="D5" t="s">
        <v>160</v>
      </c>
      <c r="E5" t="s">
        <v>167</v>
      </c>
      <c r="F5">
        <v>20</v>
      </c>
    </row>
    <row r="6" spans="1:6" x14ac:dyDescent="0.25">
      <c r="A6" t="s">
        <v>180</v>
      </c>
      <c r="B6">
        <v>0</v>
      </c>
      <c r="C6" t="s">
        <v>181</v>
      </c>
      <c r="D6" t="s">
        <v>160</v>
      </c>
      <c r="E6" t="s">
        <v>167</v>
      </c>
      <c r="F6">
        <v>40</v>
      </c>
    </row>
    <row r="7" spans="1:6" x14ac:dyDescent="0.25">
      <c r="A7" s="11" t="s">
        <v>182</v>
      </c>
      <c r="B7">
        <v>0</v>
      </c>
      <c r="C7" s="11" t="s">
        <v>187</v>
      </c>
      <c r="D7" t="s">
        <v>160</v>
      </c>
      <c r="E7" t="s">
        <v>167</v>
      </c>
      <c r="F7" s="24">
        <v>1</v>
      </c>
    </row>
    <row r="8" spans="1:6" x14ac:dyDescent="0.25">
      <c r="A8" t="s">
        <v>169</v>
      </c>
      <c r="B8">
        <v>2</v>
      </c>
      <c r="C8" t="s">
        <v>170</v>
      </c>
      <c r="D8" t="s">
        <v>160</v>
      </c>
      <c r="E8" t="s">
        <v>171</v>
      </c>
      <c r="F8">
        <v>15</v>
      </c>
    </row>
    <row r="9" spans="1:6" x14ac:dyDescent="0.25">
      <c r="A9" s="11" t="s">
        <v>183</v>
      </c>
      <c r="B9">
        <v>0</v>
      </c>
      <c r="C9" s="11" t="s">
        <v>184</v>
      </c>
      <c r="D9" t="s">
        <v>160</v>
      </c>
      <c r="E9" t="s">
        <v>171</v>
      </c>
      <c r="F9">
        <v>60</v>
      </c>
    </row>
    <row r="10" spans="1:6" x14ac:dyDescent="0.25">
      <c r="A10" s="11" t="s">
        <v>185</v>
      </c>
      <c r="B10">
        <v>0</v>
      </c>
      <c r="C10" s="11" t="s">
        <v>186</v>
      </c>
      <c r="D10" t="s">
        <v>160</v>
      </c>
      <c r="E10" t="s">
        <v>171</v>
      </c>
      <c r="F10">
        <v>120</v>
      </c>
    </row>
    <row r="11" spans="1:6" x14ac:dyDescent="0.25">
      <c r="A11" s="11" t="s">
        <v>190</v>
      </c>
      <c r="B11">
        <v>0</v>
      </c>
      <c r="C11" s="11" t="s">
        <v>188</v>
      </c>
      <c r="D11" t="s">
        <v>160</v>
      </c>
      <c r="E11" t="s">
        <v>171</v>
      </c>
      <c r="F11">
        <v>240</v>
      </c>
    </row>
    <row r="12" spans="1:6" x14ac:dyDescent="0.25">
      <c r="A12" s="11" t="s">
        <v>189</v>
      </c>
      <c r="B12">
        <v>0</v>
      </c>
      <c r="C12" s="11" t="s">
        <v>191</v>
      </c>
      <c r="D12" t="s">
        <v>160</v>
      </c>
      <c r="E12" t="s">
        <v>171</v>
      </c>
      <c r="F12" s="24">
        <v>1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A622-ED3A-4698-9CAE-3681A867A2EA}">
  <sheetPr codeName="Sheet20"/>
  <dimension ref="A1:N16"/>
  <sheetViews>
    <sheetView workbookViewId="0">
      <selection activeCell="K20" sqref="K20"/>
    </sheetView>
  </sheetViews>
  <sheetFormatPr defaultRowHeight="15" x14ac:dyDescent="0.25"/>
  <cols>
    <col min="1" max="1" width="29.42578125" customWidth="1"/>
    <col min="2" max="2" width="18.28515625" customWidth="1"/>
    <col min="3" max="3" width="51" customWidth="1"/>
    <col min="4" max="4" width="24.28515625" customWidth="1"/>
    <col min="5" max="5" width="21.140625" customWidth="1"/>
    <col min="6" max="6" width="20.5703125" customWidth="1"/>
    <col min="9" max="9" width="29.42578125" customWidth="1"/>
    <col min="10" max="10" width="18.28515625" customWidth="1"/>
    <col min="11" max="11" width="51" customWidth="1"/>
    <col min="12" max="12" width="24.28515625" customWidth="1"/>
    <col min="13" max="13" width="21.140625" customWidth="1"/>
    <col min="14" max="14" width="20.5703125" customWidth="1"/>
  </cols>
  <sheetData>
    <row r="1" spans="1:14" x14ac:dyDescent="0.25">
      <c r="A1" s="44" t="s">
        <v>252</v>
      </c>
      <c r="B1" s="44"/>
      <c r="C1" s="44"/>
      <c r="D1" s="44"/>
      <c r="E1" s="44"/>
      <c r="F1" s="44"/>
      <c r="I1" s="44" t="s">
        <v>270</v>
      </c>
      <c r="J1" s="44"/>
      <c r="K1" s="44"/>
      <c r="L1" s="44"/>
      <c r="M1" s="44"/>
      <c r="N1" s="44"/>
    </row>
    <row r="2" spans="1:14" x14ac:dyDescent="0.25">
      <c r="A2" s="36" t="s">
        <v>0</v>
      </c>
      <c r="B2" s="36" t="s">
        <v>265</v>
      </c>
      <c r="C2" s="35" t="s">
        <v>3</v>
      </c>
      <c r="D2" s="35" t="s">
        <v>250</v>
      </c>
      <c r="E2" s="36" t="s">
        <v>159</v>
      </c>
      <c r="F2" s="36" t="s">
        <v>163</v>
      </c>
      <c r="I2" s="36" t="s">
        <v>0</v>
      </c>
      <c r="J2" s="36" t="s">
        <v>265</v>
      </c>
      <c r="K2" s="35" t="s">
        <v>3</v>
      </c>
      <c r="L2" s="35" t="s">
        <v>250</v>
      </c>
      <c r="M2" s="36" t="s">
        <v>159</v>
      </c>
      <c r="N2" s="36" t="s">
        <v>163</v>
      </c>
    </row>
    <row r="3" spans="1:14" ht="15" customHeight="1" x14ac:dyDescent="0.25">
      <c r="A3" t="s">
        <v>227</v>
      </c>
      <c r="B3" t="s">
        <v>232</v>
      </c>
      <c r="C3" s="11" t="s">
        <v>241</v>
      </c>
      <c r="D3" s="13" t="s">
        <v>251</v>
      </c>
      <c r="E3" s="1" t="s">
        <v>196</v>
      </c>
      <c r="F3" s="1">
        <v>0.25</v>
      </c>
      <c r="I3" s="1" t="s">
        <v>21</v>
      </c>
      <c r="J3" s="1" t="s">
        <v>232</v>
      </c>
      <c r="K3" s="1" t="s">
        <v>21</v>
      </c>
      <c r="L3" s="1" t="s">
        <v>21</v>
      </c>
      <c r="M3" s="1" t="s">
        <v>21</v>
      </c>
      <c r="N3" s="1">
        <v>0</v>
      </c>
    </row>
    <row r="4" spans="1:14" ht="15" customHeight="1" x14ac:dyDescent="0.25">
      <c r="A4" t="s">
        <v>224</v>
      </c>
      <c r="B4" t="s">
        <v>233</v>
      </c>
      <c r="C4" s="11" t="s">
        <v>242</v>
      </c>
      <c r="D4" s="13" t="s">
        <v>251</v>
      </c>
      <c r="E4" s="1" t="s">
        <v>196</v>
      </c>
      <c r="F4" s="1">
        <v>0.25</v>
      </c>
      <c r="I4" s="1" t="s">
        <v>21</v>
      </c>
      <c r="J4" s="1" t="s">
        <v>263</v>
      </c>
      <c r="K4" s="1" t="s">
        <v>21</v>
      </c>
      <c r="L4" s="1" t="s">
        <v>21</v>
      </c>
      <c r="M4" s="1" t="s">
        <v>21</v>
      </c>
      <c r="N4" s="1">
        <v>0</v>
      </c>
    </row>
    <row r="5" spans="1:14" x14ac:dyDescent="0.25">
      <c r="A5" t="s">
        <v>225</v>
      </c>
      <c r="B5" t="s">
        <v>234</v>
      </c>
      <c r="C5" t="s">
        <v>243</v>
      </c>
      <c r="D5" s="13" t="s">
        <v>251</v>
      </c>
      <c r="E5" s="1" t="s">
        <v>196</v>
      </c>
      <c r="F5" s="1">
        <v>0.25</v>
      </c>
      <c r="I5" s="1" t="s">
        <v>21</v>
      </c>
      <c r="J5" s="1" t="s">
        <v>233</v>
      </c>
      <c r="K5" s="1" t="s">
        <v>21</v>
      </c>
      <c r="L5" s="1" t="s">
        <v>21</v>
      </c>
      <c r="M5" s="1" t="s">
        <v>21</v>
      </c>
      <c r="N5" s="1">
        <v>0</v>
      </c>
    </row>
    <row r="6" spans="1:14" x14ac:dyDescent="0.25">
      <c r="A6" t="s">
        <v>172</v>
      </c>
      <c r="B6" t="s">
        <v>235</v>
      </c>
      <c r="C6" t="s">
        <v>244</v>
      </c>
      <c r="D6" s="13" t="s">
        <v>251</v>
      </c>
      <c r="E6" s="1" t="s">
        <v>196</v>
      </c>
      <c r="F6" s="1">
        <v>0.25</v>
      </c>
      <c r="I6" s="1" t="s">
        <v>21</v>
      </c>
      <c r="J6" s="1" t="s">
        <v>234</v>
      </c>
      <c r="K6" s="1" t="s">
        <v>21</v>
      </c>
      <c r="L6" s="1" t="s">
        <v>21</v>
      </c>
      <c r="M6" s="1" t="s">
        <v>21</v>
      </c>
      <c r="N6" s="1">
        <v>0</v>
      </c>
    </row>
    <row r="7" spans="1:14" x14ac:dyDescent="0.25">
      <c r="A7" t="s">
        <v>226</v>
      </c>
      <c r="B7" t="s">
        <v>236</v>
      </c>
      <c r="C7" t="s">
        <v>245</v>
      </c>
      <c r="D7" s="13" t="s">
        <v>251</v>
      </c>
      <c r="E7" s="1" t="s">
        <v>196</v>
      </c>
      <c r="F7" s="1">
        <v>0.25</v>
      </c>
      <c r="I7" s="1" t="s">
        <v>21</v>
      </c>
      <c r="J7" s="1" t="s">
        <v>235</v>
      </c>
      <c r="K7" s="1" t="s">
        <v>21</v>
      </c>
      <c r="L7" s="1" t="s">
        <v>21</v>
      </c>
      <c r="M7" s="1" t="s">
        <v>21</v>
      </c>
      <c r="N7" s="1">
        <v>0</v>
      </c>
    </row>
    <row r="8" spans="1:14" x14ac:dyDescent="0.25">
      <c r="A8" t="s">
        <v>228</v>
      </c>
      <c r="B8" t="s">
        <v>237</v>
      </c>
      <c r="C8" t="s">
        <v>246</v>
      </c>
      <c r="D8" s="13" t="s">
        <v>251</v>
      </c>
      <c r="E8" s="1" t="s">
        <v>196</v>
      </c>
      <c r="F8" s="1">
        <v>0.25</v>
      </c>
      <c r="I8" s="1" t="s">
        <v>21</v>
      </c>
      <c r="J8" s="1" t="s">
        <v>236</v>
      </c>
      <c r="K8" s="1" t="s">
        <v>21</v>
      </c>
      <c r="L8" s="1" t="s">
        <v>21</v>
      </c>
      <c r="M8" s="1" t="s">
        <v>21</v>
      </c>
      <c r="N8" s="1">
        <v>0</v>
      </c>
    </row>
    <row r="9" spans="1:14" x14ac:dyDescent="0.25">
      <c r="A9" t="s">
        <v>229</v>
      </c>
      <c r="B9" t="s">
        <v>238</v>
      </c>
      <c r="C9" t="s">
        <v>247</v>
      </c>
      <c r="D9" s="13" t="s">
        <v>251</v>
      </c>
      <c r="E9" s="1" t="s">
        <v>196</v>
      </c>
      <c r="F9" s="1">
        <v>0.25</v>
      </c>
      <c r="I9" s="1" t="s">
        <v>21</v>
      </c>
      <c r="J9" s="1" t="s">
        <v>237</v>
      </c>
      <c r="K9" s="1" t="s">
        <v>21</v>
      </c>
      <c r="L9" s="1" t="s">
        <v>21</v>
      </c>
      <c r="M9" s="1" t="s">
        <v>21</v>
      </c>
      <c r="N9" s="1">
        <v>0</v>
      </c>
    </row>
    <row r="10" spans="1:14" x14ac:dyDescent="0.25">
      <c r="A10" t="s">
        <v>230</v>
      </c>
      <c r="B10" t="s">
        <v>239</v>
      </c>
      <c r="C10" t="s">
        <v>248</v>
      </c>
      <c r="D10" s="13" t="s">
        <v>251</v>
      </c>
      <c r="E10" s="1" t="s">
        <v>196</v>
      </c>
      <c r="F10" s="1">
        <v>0.25</v>
      </c>
      <c r="I10" s="1" t="s">
        <v>21</v>
      </c>
      <c r="J10" s="1" t="s">
        <v>238</v>
      </c>
      <c r="K10" s="1" t="s">
        <v>21</v>
      </c>
      <c r="L10" s="1" t="s">
        <v>21</v>
      </c>
      <c r="M10" s="1" t="s">
        <v>21</v>
      </c>
      <c r="N10" s="1">
        <v>0</v>
      </c>
    </row>
    <row r="11" spans="1:14" x14ac:dyDescent="0.25">
      <c r="A11" t="s">
        <v>231</v>
      </c>
      <c r="B11" t="s">
        <v>240</v>
      </c>
      <c r="C11" t="s">
        <v>249</v>
      </c>
      <c r="D11" s="13" t="s">
        <v>251</v>
      </c>
      <c r="E11" s="1" t="s">
        <v>196</v>
      </c>
      <c r="F11" s="1">
        <v>0.25</v>
      </c>
      <c r="I11" s="1" t="s">
        <v>21</v>
      </c>
      <c r="J11" s="1" t="s">
        <v>239</v>
      </c>
      <c r="K11" s="1" t="s">
        <v>21</v>
      </c>
      <c r="L11" s="1" t="s">
        <v>21</v>
      </c>
      <c r="M11" s="1" t="s">
        <v>21</v>
      </c>
      <c r="N11" s="1">
        <v>0</v>
      </c>
    </row>
    <row r="12" spans="1:14" x14ac:dyDescent="0.25">
      <c r="F12" s="1"/>
      <c r="I12" s="1" t="s">
        <v>21</v>
      </c>
      <c r="J12" s="1" t="s">
        <v>240</v>
      </c>
      <c r="K12" s="1" t="s">
        <v>21</v>
      </c>
      <c r="L12" s="1" t="s">
        <v>21</v>
      </c>
      <c r="M12" s="1" t="s">
        <v>21</v>
      </c>
      <c r="N12" s="1">
        <v>0</v>
      </c>
    </row>
    <row r="13" spans="1:14" x14ac:dyDescent="0.25">
      <c r="I13" s="1" t="s">
        <v>21</v>
      </c>
      <c r="J13" s="1" t="s">
        <v>266</v>
      </c>
      <c r="K13" s="1" t="s">
        <v>21</v>
      </c>
      <c r="L13" s="1" t="s">
        <v>21</v>
      </c>
      <c r="M13" s="1" t="s">
        <v>21</v>
      </c>
      <c r="N13" s="1">
        <v>0</v>
      </c>
    </row>
    <row r="14" spans="1:14" x14ac:dyDescent="0.25">
      <c r="I14" s="1" t="s">
        <v>21</v>
      </c>
      <c r="J14" s="1" t="s">
        <v>267</v>
      </c>
      <c r="K14" s="1" t="s">
        <v>21</v>
      </c>
      <c r="L14" s="1" t="s">
        <v>21</v>
      </c>
      <c r="M14" s="1" t="s">
        <v>21</v>
      </c>
      <c r="N14" s="1">
        <v>0</v>
      </c>
    </row>
    <row r="15" spans="1:14" x14ac:dyDescent="0.25">
      <c r="I15" s="1" t="s">
        <v>21</v>
      </c>
      <c r="J15" s="1" t="s">
        <v>193</v>
      </c>
      <c r="K15" s="1" t="s">
        <v>21</v>
      </c>
      <c r="L15" s="1" t="s">
        <v>21</v>
      </c>
      <c r="M15" s="1" t="s">
        <v>21</v>
      </c>
      <c r="N15" s="1">
        <v>0</v>
      </c>
    </row>
    <row r="16" spans="1:14" x14ac:dyDescent="0.25">
      <c r="I16" s="1" t="s">
        <v>21</v>
      </c>
      <c r="J16" s="1" t="s">
        <v>271</v>
      </c>
      <c r="K16" s="1" t="s">
        <v>21</v>
      </c>
      <c r="L16" s="1" t="s">
        <v>21</v>
      </c>
      <c r="M16" s="1" t="s">
        <v>21</v>
      </c>
      <c r="N16" s="1">
        <v>0</v>
      </c>
    </row>
  </sheetData>
  <mergeCells count="2">
    <mergeCell ref="A1:F1"/>
    <mergeCell ref="I1:N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437F-62DF-4C32-9BDB-49B83C126B8B}">
  <sheetPr codeName="Sheet22"/>
  <dimension ref="A1:E6"/>
  <sheetViews>
    <sheetView workbookViewId="0">
      <selection activeCell="A3" sqref="A3:E6"/>
    </sheetView>
  </sheetViews>
  <sheetFormatPr defaultRowHeight="15" x14ac:dyDescent="0.25"/>
  <cols>
    <col min="1" max="1" width="22.140625" customWidth="1"/>
    <col min="2" max="2" width="17.85546875" customWidth="1"/>
    <col min="3" max="3" width="19.5703125" customWidth="1"/>
    <col min="4" max="4" width="55.85546875" customWidth="1"/>
    <col min="5" max="5" width="18.42578125" customWidth="1"/>
  </cols>
  <sheetData>
    <row r="1" spans="1:5" x14ac:dyDescent="0.25">
      <c r="A1" s="44" t="s">
        <v>253</v>
      </c>
      <c r="B1" s="44"/>
      <c r="C1" s="44"/>
      <c r="D1" s="44"/>
      <c r="E1" s="44"/>
    </row>
    <row r="2" spans="1:5" x14ac:dyDescent="0.25">
      <c r="A2" s="44" t="s">
        <v>254</v>
      </c>
      <c r="B2" s="44"/>
      <c r="C2" s="44"/>
      <c r="D2" s="44"/>
      <c r="E2" s="44"/>
    </row>
    <row r="3" spans="1:5" x14ac:dyDescent="0.25">
      <c r="A3" s="36" t="s">
        <v>257</v>
      </c>
      <c r="B3" s="36" t="s">
        <v>255</v>
      </c>
      <c r="C3" s="36" t="s">
        <v>259</v>
      </c>
      <c r="D3" s="36" t="s">
        <v>3</v>
      </c>
      <c r="E3" s="36"/>
    </row>
    <row r="4" spans="1:5" x14ac:dyDescent="0.25">
      <c r="A4" s="1">
        <v>3</v>
      </c>
      <c r="B4" s="1" t="s">
        <v>196</v>
      </c>
      <c r="C4" s="1">
        <v>1</v>
      </c>
    </row>
    <row r="5" spans="1:5" x14ac:dyDescent="0.25">
      <c r="A5" s="1">
        <v>6</v>
      </c>
      <c r="B5" s="1" t="s">
        <v>196</v>
      </c>
      <c r="C5" s="1">
        <v>1</v>
      </c>
    </row>
    <row r="6" spans="1:5" x14ac:dyDescent="0.25">
      <c r="A6" s="1">
        <v>9</v>
      </c>
      <c r="B6" s="1" t="s">
        <v>256</v>
      </c>
      <c r="C6" s="1">
        <v>3</v>
      </c>
    </row>
  </sheetData>
  <mergeCells count="2">
    <mergeCell ref="A1:E1"/>
    <mergeCell ref="A2:E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17BAF-3590-43A4-B561-847BB36BABD1}">
  <sheetPr codeName="Sheet21"/>
  <dimension ref="A2"/>
  <sheetViews>
    <sheetView workbookViewId="0">
      <selection activeCell="A3" sqref="A3"/>
    </sheetView>
  </sheetViews>
  <sheetFormatPr defaultRowHeight="15" x14ac:dyDescent="0.25"/>
  <sheetData>
    <row r="2" spans="1:1" x14ac:dyDescent="0.25">
      <c r="A2" t="s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3E3C46-C4C9-498D-A5A2-A5DC0537B2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41</vt:i4>
      </vt:variant>
    </vt:vector>
  </HeadingPairs>
  <TitlesOfParts>
    <vt:vector size="63" baseType="lpstr">
      <vt:lpstr>Sheet1</vt:lpstr>
      <vt:lpstr>Testing Macros</vt:lpstr>
      <vt:lpstr>Character Information sheet</vt:lpstr>
      <vt:lpstr>Mage Offensive Spells</vt:lpstr>
      <vt:lpstr>Mage Defensive Spells</vt:lpstr>
      <vt:lpstr>Warrior Offensive Actions</vt:lpstr>
      <vt:lpstr>Warrior Defensive Actions</vt:lpstr>
      <vt:lpstr>Ranger Offensive Actions</vt:lpstr>
      <vt:lpstr>Ranger Defensive Actions</vt:lpstr>
      <vt:lpstr>Classes</vt:lpstr>
      <vt:lpstr>BaseInventory</vt:lpstr>
      <vt:lpstr>test</vt:lpstr>
      <vt:lpstr>Types</vt:lpstr>
      <vt:lpstr>Monster Tables</vt:lpstr>
      <vt:lpstr>Monster Action Tables</vt:lpstr>
      <vt:lpstr>Experience needed for levels</vt:lpstr>
      <vt:lpstr>Combat Log</vt:lpstr>
      <vt:lpstr>StarBasher</vt:lpstr>
      <vt:lpstr>SandPirate</vt:lpstr>
      <vt:lpstr>Equipment</vt:lpstr>
      <vt:lpstr>Set Bonuses</vt:lpstr>
      <vt:lpstr>Potions</vt:lpstr>
      <vt:lpstr>Characters</vt:lpstr>
      <vt:lpstr>Classes</vt:lpstr>
      <vt:lpstr>CurrentPlayerLevel</vt:lpstr>
      <vt:lpstr>EmptyPieces</vt:lpstr>
      <vt:lpstr>EnergyPot</vt:lpstr>
      <vt:lpstr>GoblinMinionAttacks</vt:lpstr>
      <vt:lpstr>MageAttacks</vt:lpstr>
      <vt:lpstr>MageDefenses</vt:lpstr>
      <vt:lpstr>ManaPots</vt:lpstr>
      <vt:lpstr>MonsterList</vt:lpstr>
      <vt:lpstr>NookruleFieldMonsterList</vt:lpstr>
      <vt:lpstr>PlayerCurrentMonster</vt:lpstr>
      <vt:lpstr>PlayerCurrentQuest</vt:lpstr>
      <vt:lpstr>PlayerDefenseAmt</vt:lpstr>
      <vt:lpstr>PlayerDefenseType</vt:lpstr>
      <vt:lpstr>PlayerExperienceNeeded</vt:lpstr>
      <vt:lpstr>PlayerGold</vt:lpstr>
      <vt:lpstr>PlayerLevelRange</vt:lpstr>
      <vt:lpstr>PlayerLocationRange</vt:lpstr>
      <vt:lpstr>BaseInventory!PlayerPotionList</vt:lpstr>
      <vt:lpstr>PlayerPotionList</vt:lpstr>
      <vt:lpstr>PlayerResourceRegen</vt:lpstr>
      <vt:lpstr>PlayerTotalExperience</vt:lpstr>
      <vt:lpstr>RagePot</vt:lpstr>
      <vt:lpstr>RangerAttacks</vt:lpstr>
      <vt:lpstr>Stats</vt:lpstr>
      <vt:lpstr>testCurrentEquipment</vt:lpstr>
      <vt:lpstr>testCurrentMonster</vt:lpstr>
      <vt:lpstr>testCurrentQuest</vt:lpstr>
      <vt:lpstr>testDefenseAmt</vt:lpstr>
      <vt:lpstr>testDefenseType</vt:lpstr>
      <vt:lpstr>tester1</vt:lpstr>
      <vt:lpstr>tester2</vt:lpstr>
      <vt:lpstr>testExperienceNeeded</vt:lpstr>
      <vt:lpstr>testGold</vt:lpstr>
      <vt:lpstr>testInventory</vt:lpstr>
      <vt:lpstr>testLevel</vt:lpstr>
      <vt:lpstr>testLocation</vt:lpstr>
      <vt:lpstr>testPotionList</vt:lpstr>
      <vt:lpstr>testResourceRegen</vt:lpstr>
      <vt:lpstr>testTotalExperience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</dc:creator>
  <cp:lastModifiedBy>zack</cp:lastModifiedBy>
  <dcterms:created xsi:type="dcterms:W3CDTF">2021-11-10T23:55:12Z</dcterms:created>
  <dcterms:modified xsi:type="dcterms:W3CDTF">2021-11-22T22:25:16Z</dcterms:modified>
</cp:coreProperties>
</file>